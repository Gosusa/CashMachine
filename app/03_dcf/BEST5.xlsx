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종목현황" sheetId="1" r:id="rId5"/>
    <sheet state="visible" name="월별자산" sheetId="2" r:id="rId6"/>
    <sheet state="visible" name="Target" sheetId="3" r:id="rId7"/>
    <sheet state="visible" name="TSLA DCF" sheetId="4" r:id="rId8"/>
    <sheet state="visible" name="OXY DCF" sheetId="5" r:id="rId9"/>
    <sheet state="visible" name="KKR DCF" sheetId="6" r:id="rId10"/>
    <sheet state="visible" name="ADBE DCF" sheetId="7" r:id="rId11"/>
    <sheet state="visible" name="ORCL DCF" sheetId="8" r:id="rId12"/>
    <sheet state="visible" name="ROP DCF" sheetId="9" r:id="rId13"/>
    <sheet state="visible" name="PTC DCF" sheetId="10" r:id="rId14"/>
    <sheet state="visible" name="SN DCF" sheetId="11" r:id="rId15"/>
    <sheet state="visible" name="    " sheetId="12" r:id="rId16"/>
    <sheet state="visible" name="시트16" sheetId="13" r:id="rId17"/>
    <sheet state="visible" name="월가의영웅" sheetId="14" r:id="rId18"/>
    <sheet state="visible" name="100배 주식 불변의 법칙" sheetId="15" r:id="rId19"/>
    <sheet state="visible" name="매수 후보 리스트" sheetId="16" r:id="rId20"/>
    <sheet state="visible" name="시트26" sheetId="17" r:id="rId21"/>
  </sheets>
  <definedNames/>
  <calcPr/>
</workbook>
</file>

<file path=xl/sharedStrings.xml><?xml version="1.0" encoding="utf-8"?>
<sst xmlns="http://schemas.openxmlformats.org/spreadsheetml/2006/main" count="2564" uniqueCount="944">
  <si>
    <t>Investment</t>
  </si>
  <si>
    <t>환율</t>
  </si>
  <si>
    <t>목표금액</t>
  </si>
  <si>
    <t>Shares</t>
  </si>
  <si>
    <t>Company</t>
  </si>
  <si>
    <t>Ticker</t>
  </si>
  <si>
    <t>Cost($)</t>
  </si>
  <si>
    <t>Market</t>
  </si>
  <si>
    <t>Market 
Value</t>
  </si>
  <si>
    <t>Return</t>
  </si>
  <si>
    <t>Rate of
Return</t>
  </si>
  <si>
    <t>Percentage of
Company
Owned</t>
  </si>
  <si>
    <t xml:space="preserve"> Dividend
Yield</t>
  </si>
  <si>
    <t>Rate of
Achievement</t>
  </si>
  <si>
    <t>매입 환율</t>
  </si>
  <si>
    <t>포트폴리오</t>
  </si>
  <si>
    <t>Portfolio</t>
  </si>
  <si>
    <t>WON</t>
  </si>
  <si>
    <t>-</t>
  </si>
  <si>
    <t>USD</t>
  </si>
  <si>
    <t>TSLA</t>
  </si>
  <si>
    <t>KKR</t>
  </si>
  <si>
    <t>ORCL</t>
  </si>
  <si>
    <t>OXY</t>
  </si>
  <si>
    <t>ADBE</t>
  </si>
  <si>
    <t>SN</t>
  </si>
  <si>
    <t>SMR</t>
  </si>
  <si>
    <t>WBTN</t>
  </si>
  <si>
    <t>DMRC</t>
  </si>
  <si>
    <t>SCHD 배당</t>
  </si>
  <si>
    <t>시가배당율</t>
  </si>
  <si>
    <t>배당율</t>
  </si>
  <si>
    <t>24년</t>
  </si>
  <si>
    <t>25년</t>
  </si>
  <si>
    <t xml:space="preserve"> </t>
  </si>
  <si>
    <t/>
  </si>
  <si>
    <t>합계</t>
  </si>
  <si>
    <t>JeaKyung</t>
  </si>
  <si>
    <t>Hyunji</t>
  </si>
  <si>
    <t>S&amp;P500</t>
  </si>
  <si>
    <t>배당 합</t>
  </si>
  <si>
    <t>실질 수익</t>
  </si>
  <si>
    <t>My Index</t>
  </si>
  <si>
    <t>기말자산(￦)</t>
  </si>
  <si>
    <t>순입금액(￦)</t>
  </si>
  <si>
    <t>배당(￦)</t>
  </si>
  <si>
    <t>Now</t>
  </si>
  <si>
    <t>FREE Lunch</t>
  </si>
  <si>
    <t>bear</t>
  </si>
  <si>
    <t>base</t>
  </si>
  <si>
    <t>bull</t>
  </si>
  <si>
    <t>ROP</t>
  </si>
  <si>
    <t>PTC</t>
  </si>
  <si>
    <t>ADI</t>
  </si>
  <si>
    <t>spgi</t>
  </si>
  <si>
    <t>mco</t>
  </si>
  <si>
    <t>[시나리오 컨트롤 패널]</t>
  </si>
  <si>
    <t>Now CASE</t>
  </si>
  <si>
    <t>[1. 시나리오 데이터베이스]</t>
  </si>
  <si>
    <t>Bear Case(1)</t>
  </si>
  <si>
    <t>구분</t>
  </si>
  <si>
    <t>항목 (Item)</t>
  </si>
  <si>
    <t>Bear (1.비관)</t>
  </si>
  <si>
    <t>Base (2.중립)</t>
  </si>
  <si>
    <t>Bull (3.낙관)</t>
  </si>
  <si>
    <t>Base Case(2)</t>
  </si>
  <si>
    <t>성장률 (Growth)</t>
  </si>
  <si>
    <t>Automotive Growth</t>
  </si>
  <si>
    <t>Bull Case(3)</t>
  </si>
  <si>
    <t>Energy Growth</t>
  </si>
  <si>
    <t>Services Growth</t>
  </si>
  <si>
    <t>이익률 (Margins)</t>
  </si>
  <si>
    <t>Gross Margin (초기값)</t>
  </si>
  <si>
    <t>OpEx Ratio (목표값)</t>
  </si>
  <si>
    <t>가치평가 (Valuation)</t>
  </si>
  <si>
    <t>WACC (할인율)</t>
  </si>
  <si>
    <t>Terminal Growth (영구성장)</t>
  </si>
  <si>
    <t>[2. DCF 모델링 (계산기)]</t>
  </si>
  <si>
    <t>2024A (실적)</t>
  </si>
  <si>
    <t>2025E (추정)</t>
  </si>
  <si>
    <t>2026E</t>
  </si>
  <si>
    <t>2027E</t>
  </si>
  <si>
    <t>2028E</t>
  </si>
  <si>
    <t>2029E</t>
  </si>
  <si>
    <t>(A) 핵심 가정</t>
  </si>
  <si>
    <t>Automotive 성장률</t>
  </si>
  <si>
    <t>Energy 성장률</t>
  </si>
  <si>
    <t>Services 성장률</t>
  </si>
  <si>
    <t>전사 Gross Margin</t>
  </si>
  <si>
    <t>OpEx 비율</t>
  </si>
  <si>
    <t>법인세율 (Tax)</t>
  </si>
  <si>
    <t>할인율 (WACC)</t>
  </si>
  <si>
    <t>영구성장률 (TV G)</t>
  </si>
  <si>
    <t>(B) 매출 및 이익</t>
  </si>
  <si>
    <t>매출 (Revenue)</t>
  </si>
  <si>
    <t>Automotive Sales</t>
  </si>
  <si>
    <t>Energy Gen &amp; Storage</t>
  </si>
  <si>
    <t>Services &amp; Other</t>
  </si>
  <si>
    <t>Total Revenue</t>
  </si>
  <si>
    <t>비용 (Expenses)</t>
  </si>
  <si>
    <t>(-) COGS (매출원가)</t>
  </si>
  <si>
    <t>Gross Profit (매출총이익)</t>
  </si>
  <si>
    <t>(-) OpEx (판관비/R&amp;D)</t>
  </si>
  <si>
    <t>이익 (Profit)</t>
  </si>
  <si>
    <t>EBIT (영업이익)</t>
  </si>
  <si>
    <t>(C) 가치평가 (Valuation)</t>
  </si>
  <si>
    <t>현금흐름 (FCF)</t>
  </si>
  <si>
    <t>(-) Tax (법인세)</t>
  </si>
  <si>
    <t>NOPAT (세후영업이익)</t>
  </si>
  <si>
    <t>(+) D&amp;A (감가상각)</t>
  </si>
  <si>
    <t>(-) Capex (설비투자)</t>
  </si>
  <si>
    <t>(-) NWC (운전자본)</t>
  </si>
  <si>
    <t>Unlevered FCF</t>
  </si>
  <si>
    <t>할인 (Discounting)</t>
  </si>
  <si>
    <t>할인 기간 (Period)</t>
  </si>
  <si>
    <t>할인 계수 (Factor)</t>
  </si>
  <si>
    <t>PV of FCF (현재가치)</t>
  </si>
  <si>
    <t>결과 (Result)</t>
  </si>
  <si>
    <t>사업가치 합계 (Sum of PVs)</t>
  </si>
  <si>
    <t>영구가치 (Terminal Value)</t>
  </si>
  <si>
    <t>영구가치 현가 (PV of TV)</t>
  </si>
  <si>
    <t>기업가치 (Enterprise Value)</t>
  </si>
  <si>
    <t>(-) 순부채 (Net Debt)</t>
  </si>
  <si>
    <t>(현금 부자)</t>
  </si>
  <si>
    <t>주주가치 (Equity Value)</t>
  </si>
  <si>
    <t>발행주식수 (Shares)</t>
  </si>
  <si>
    <t>최종</t>
  </si>
  <si>
    <t>적정 주가 (Target Price)</t>
  </si>
  <si>
    <t>[4. 밸류에이션 점검] (Sanity Check)</t>
  </si>
  <si>
    <t>내재 PER (Implied P/E)</t>
  </si>
  <si>
    <t>2025E 기준 PER</t>
  </si>
  <si>
    <t>배</t>
  </si>
  <si>
    <t>2026E 기준 PER</t>
  </si>
  <si>
    <t>2027E 기준 PER</t>
  </si>
  <si>
    <t>이 모델이 도출한 주가는 202N년 예상 실적 대비 이 정도 멀티플입니다.</t>
  </si>
  <si>
    <t>CASE</t>
  </si>
  <si>
    <t>(유가 및 거시경제 시나리오)</t>
  </si>
  <si>
    <t>Bear (1.유가하락)</t>
  </si>
  <si>
    <t>Bull (3.유가상승)</t>
  </si>
  <si>
    <t>Oil &amp; Gas Growth</t>
  </si>
  <si>
    <t>Chemicals (OxyChem)</t>
  </si>
  <si>
    <t>Midstream &amp; Low Carbon</t>
  </si>
  <si>
    <t>OpEx Ratio (유지비)</t>
  </si>
  <si>
    <t>2024A (잠정)</t>
  </si>
  <si>
    <t>Oil &amp; Gas 성장률</t>
  </si>
  <si>
    <t>(위 DB에서 자동입력)</t>
  </si>
  <si>
    <t>Chemicals 성장률</t>
  </si>
  <si>
    <t>Low Carbon 성장률</t>
  </si>
  <si>
    <t>Oil &amp; Gas Sales</t>
  </si>
  <si>
    <t>(-) OpEx (판관비/탐사비)</t>
  </si>
  <si>
    <t>(+) D&amp;A (감가상각: 높음)</t>
  </si>
  <si>
    <t>(-) Capex (설비투자: 높음)</t>
  </si>
  <si>
    <t>(빚이 아주 많음)</t>
  </si>
  <si>
    <t>(희석 고려)</t>
  </si>
  <si>
    <t>(OXY는 PER보다 P/FCF가 중요)</t>
  </si>
  <si>
    <t>(설명:)</t>
  </si>
  <si>
    <t>전통 에너지 기업은</t>
  </si>
  <si>
    <t>성장주보다 PER이</t>
  </si>
  <si>
    <t>훨씬 낮아야 정상입니다.</t>
  </si>
  <si>
    <t>[0. 시나리오 데이터베이스 (Scenario DB)]</t>
  </si>
  <si>
    <t>(Row 1)</t>
  </si>
  <si>
    <t>항목</t>
  </si>
  <si>
    <t>선택된 값 (Formula)</t>
  </si>
  <si>
    <t>Bear (1)</t>
  </si>
  <si>
    <t>Base (2)</t>
  </si>
  <si>
    <t>Bull (3)</t>
  </si>
  <si>
    <t>비고</t>
  </si>
  <si>
    <t>(Row 2)</t>
  </si>
  <si>
    <t>시나리오 선택</t>
  </si>
  <si>
    <t>입력 (1~3) -&gt;</t>
  </si>
  <si>
    <t>(C3: 숫자만 입력)</t>
  </si>
  <si>
    <t>(Row 3)</t>
  </si>
  <si>
    <t>(A) 수수료 (FRE)</t>
  </si>
  <si>
    <t>성장률</t>
  </si>
  <si>
    <t>(Row 4)</t>
  </si>
  <si>
    <t>(B) 성과보수 (Carry)</t>
  </si>
  <si>
    <t>(*Bear는 역성장 가정)</t>
  </si>
  <si>
    <t>(Row 5)</t>
  </si>
  <si>
    <t>(C) 보험/투자 (Ins)</t>
  </si>
  <si>
    <t>(Row 6)</t>
  </si>
  <si>
    <t>(Row 7)</t>
  </si>
  <si>
    <t>(Row 8)</t>
  </si>
  <si>
    <t>[1. 핵심 지표 입력 (Net Earnings Basis)]</t>
  </si>
  <si>
    <t>(Row 9)</t>
  </si>
  <si>
    <t>항목 (Unit: $M)</t>
  </si>
  <si>
    <t>성장률(Link)</t>
  </si>
  <si>
    <t>2025A(확정)</t>
  </si>
  <si>
    <t>2026E(자동)</t>
  </si>
  <si>
    <t>2030E</t>
  </si>
  <si>
    <t>(Row 10)</t>
  </si>
  <si>
    <t>(1) 수수료</t>
  </si>
  <si>
    <t>Fee Related Earnings (FRE)</t>
  </si>
  <si>
    <t>(Row 11)</t>
  </si>
  <si>
    <t>(2) 성과보수</t>
  </si>
  <si>
    <t>Realized Performance Income</t>
  </si>
  <si>
    <t>(Row 12)</t>
  </si>
  <si>
    <t>(3) 보험/투자</t>
  </si>
  <si>
    <t>Insurance &amp; Investment Income</t>
  </si>
  <si>
    <t>(Row 13)</t>
  </si>
  <si>
    <t>(4) 세금/기타</t>
  </si>
  <si>
    <t>Effective Tax &amp; Adj.</t>
  </si>
  <si>
    <t>(*마진율 계산 삭제, 순이익 직접 입력)</t>
  </si>
  <si>
    <t>(Row 14)</t>
  </si>
  <si>
    <t>(Row 15)</t>
  </si>
  <si>
    <t>(Row 16)</t>
  </si>
  <si>
    <t>[2. 고정 변수 (Fixed Assumptions)]</t>
  </si>
  <si>
    <t>(Row 17)</t>
  </si>
  <si>
    <t>값 (Value)</t>
  </si>
  <si>
    <t>설명</t>
  </si>
  <si>
    <t>(Row 18)</t>
  </si>
  <si>
    <t>주식수</t>
  </si>
  <si>
    <t>Diluted Share Count</t>
  </si>
  <si>
    <t>백만주</t>
  </si>
  <si>
    <t>(Row 19)</t>
  </si>
  <si>
    <t>세금</t>
  </si>
  <si>
    <t>Effective Tax Rate</t>
  </si>
  <si>
    <t>법인세율</t>
  </si>
  <si>
    <t>(Row 20)</t>
  </si>
  <si>
    <t>자산가치</t>
  </si>
  <si>
    <t>SOTP (Net Asset)</t>
  </si>
  <si>
    <t>(*이익에 포함됨 -&gt; 중복 제거)</t>
  </si>
  <si>
    <t>(Row 21)</t>
  </si>
  <si>
    <t>할인율</t>
  </si>
  <si>
    <t>WACC (Discount)</t>
  </si>
  <si>
    <t>(*시장 리스크 반영 상향)</t>
  </si>
  <si>
    <t>(Row 22)</t>
  </si>
  <si>
    <t>영구성장</t>
  </si>
  <si>
    <t>Terminal Growth</t>
  </si>
  <si>
    <t>영구성장률</t>
  </si>
  <si>
    <t>(Row 23)</t>
  </si>
  <si>
    <t>(Row 24)</t>
  </si>
  <si>
    <t>[3. 결과 요약 (Output)]</t>
  </si>
  <si>
    <t>(Row 25)</t>
  </si>
  <si>
    <t>값 (Result)</t>
  </si>
  <si>
    <t>비고 (Note)</t>
  </si>
  <si>
    <t>(Row 26)</t>
  </si>
  <si>
    <t>시나리오</t>
  </si>
  <si>
    <t>현재 상태 (Status)</t>
  </si>
  <si>
    <t>선택됨</t>
  </si>
  <si>
    <t>(Row 27)</t>
  </si>
  <si>
    <t>수익성</t>
  </si>
  <si>
    <t>예상 DEPS (26E)</t>
  </si>
  <si>
    <t>(Row 28)</t>
  </si>
  <si>
    <t>밸류에이션</t>
  </si>
  <si>
    <t>예상 PER (26E)</t>
  </si>
  <si>
    <t>Target Multiple</t>
  </si>
  <si>
    <t>(Row 29)</t>
  </si>
  <si>
    <t>목표가</t>
  </si>
  <si>
    <t>적정 주가 ($)</t>
  </si>
  <si>
    <t>Target Price</t>
  </si>
  <si>
    <t>(Row 30)</t>
  </si>
  <si>
    <t>판단</t>
  </si>
  <si>
    <t>투자 의견 (Verdict)</t>
  </si>
  <si>
    <t>Current: $103</t>
  </si>
  <si>
    <t>(Row 31)</t>
  </si>
  <si>
    <t>(Row 32)</t>
  </si>
  <si>
    <t>[4. DCF 계산 엔진 (Calculation)]</t>
  </si>
  <si>
    <t>(Row 33)</t>
  </si>
  <si>
    <t>연도 (Year)</t>
  </si>
  <si>
    <t>Ref</t>
  </si>
  <si>
    <t>2025A</t>
  </si>
  <si>
    <t>(Row 34)</t>
  </si>
  <si>
    <t>(A) 이익 산출</t>
  </si>
  <si>
    <t>FRE Profit (수수료)</t>
  </si>
  <si>
    <t>Net Input</t>
  </si>
  <si>
    <t>(Row 35)</t>
  </si>
  <si>
    <t>(순이익 기준)</t>
  </si>
  <si>
    <t>Carry Profit (보수)</t>
  </si>
  <si>
    <t>(Row 36)</t>
  </si>
  <si>
    <t>(입력값 사용)</t>
  </si>
  <si>
    <t>Ins Profit (투자)</t>
  </si>
  <si>
    <t>(Row 37)</t>
  </si>
  <si>
    <t>세전 이익 합계 (EBT)</t>
  </si>
  <si>
    <t>(Row 38)</t>
  </si>
  <si>
    <t>(B) 세금/DE</t>
  </si>
  <si>
    <t>(-) 법인세 (Tax)</t>
  </si>
  <si>
    <t>(Row 39)</t>
  </si>
  <si>
    <t>분배가능이익 (DE)</t>
  </si>
  <si>
    <t>(Row 40)</t>
  </si>
  <si>
    <t>주당순이익 (DEPS)</t>
  </si>
  <si>
    <t>(Row 41)</t>
  </si>
  <si>
    <t>(C) 할인/가치</t>
  </si>
  <si>
    <t>(Row 42)</t>
  </si>
  <si>
    <t>(Row 43)</t>
  </si>
  <si>
    <t>현가 (PV of DE)</t>
  </si>
  <si>
    <t>(Row 44)</t>
  </si>
  <si>
    <t>(D) 최종 합산</t>
  </si>
  <si>
    <t>사업가치 합계 (Sum PV)</t>
  </si>
  <si>
    <t>(26~30년 PV 합계)</t>
  </si>
  <si>
    <t>(Row 45)</t>
  </si>
  <si>
    <t>영구가치 (Terminal)</t>
  </si>
  <si>
    <t>(2030년 기준)</t>
  </si>
  <si>
    <t>(Row 46)</t>
  </si>
  <si>
    <t>영구가치 현가 (PV TV)</t>
  </si>
  <si>
    <t>(현재가치로 환산)</t>
  </si>
  <si>
    <t>(Row 47)</t>
  </si>
  <si>
    <t>자산가치 (SOTP)</t>
  </si>
  <si>
    <t>(중복 제거됨)</t>
  </si>
  <si>
    <t>(Row 48)</t>
  </si>
  <si>
    <t>총 주주가치 (Equity)</t>
  </si>
  <si>
    <t>(Sum + PV TV + SOTP)</t>
  </si>
  <si>
    <t>(Row 49)</t>
  </si>
  <si>
    <t>주식수 (Shares)</t>
  </si>
  <si>
    <t>(발행주식수)</t>
  </si>
  <si>
    <t>(Row 50)</t>
  </si>
  <si>
    <t>적정 주가 (Price)</t>
  </si>
  <si>
    <t>($ 결과값)</t>
  </si>
  <si>
    <t>(Row 51)</t>
  </si>
  <si>
    <t>[0. 시나리오 데이터베이스 (Scenario DB)]||||||||(Row 1)
구분|항목|선택된 값 (Formula)|Bear (1)|Base (2)|Bull (3)|비고||(Row 2)
시나리오 선택|입력 (1~3) -&gt;|2||||(C3: 숫자만 입력)||(Row 3)
(A) 수수료 (FRE)|성장률|=CHOOSE($C$3,D4,E4,F4)|8.0%|15.0%|22.0%|||(Row 4)
(B) 성과보수 (Carry)|성장률|=CHOOSE($C$3,D5,E5,F5)|-5.0%|5.0%|15.0%|(*Bear는 역성장 가정)||(Row 5)
(C) 보험/투자 (Ins)|성장률|=CHOOSE($C$3,D6,E6,F6)|5.0%|10.0%|15.0%|||(Row 6)
|||||||||(Row 7)
|||||||||(Row 8)
[1. 핵심 지표 입력 (Net Earnings Basis)]||||||||(Row 9)
구분|항목 (Unit: $M)|성장률(Link)|2025A(확정)|2026E(자동)|2027E|2028E|2029E|2030E|(Row 10)
(1) 수수료|Fee Related Earnings (FRE)|=$C$4|3800|=D11*(1+$C11)|=E11*(1+$C11)|=F11*(1+$C11)|=G11*(1+$C11)|=H11*(1+$C11)|(Row 11)
(2) 성과보수|Realized Performance Income|=$C$5|1500|=D12*(1+$C12)|=E12*(1+$C12)|=F12*(1+$C12)|=G12*(1+$C12)|=H12*(1+$C12)|(Row 12)
(3) 보험/투자|Insurance &amp; Investment Income|=$C$6|1150|=D13*(1+$C13)|=E13*(1+$C13)|=F13*(1+$C13)|=G13*(1+$C13)|=H13*(1+$C13)|(Row 13)
(4) 세금/기타|Effective Tax &amp; Adj.|-|22.0%|(*마진율 계산 삭제, 순이익 직접 입력)||||(Row 14)
|||||||||(Row 15)
|||||||||(Row 16)
[2. 고정 변수 (Fixed Assumptions)]||||||||(Row 17)
구분|항목|값 (Value)|설명|||||(Row 18)
주식수|Diluted Share Count|910|백만주|||||(Row 19)
세금|Effective Tax Rate|22.0%|법인세율|||||(Row 20)
자산가치|SOTP (Net Asset)|0|(*이익에 포함됨 -&gt; 중복 제거)||||(Row 21)
할인율|WACC (Discount)|11.0%|(*시장 리스크 반영 상향)||||(Row 22)
영구성장|Terminal Growth|3.0%|영구성장률|||||(Row 23)
|||||||||(Row 24)
[3. 결과 요약 (Output)]||||||||(Row 25)
구분|항목|값 (Result)|비고 (Note)|||||(Row 26)
시나리오|현재 상태 (Status)|=CHOOSE($C$3,"Bear (1)","Base (2)","Bull (3)")|선택됨|||||(Row 27)
수익성|예상 DEPS (26E)|=E41|=(E41/D41)-1&amp;" Growth"|||||(Row 28)
밸류에이션|예상 PER (26E)|=C30/C28|Target Multiple|||||(Row 29)
목표가|적정 주가 ($)|=C51|Target Price|||||(Row 30)
판단|투자 의견 (Verdict)|=IF(C51&gt;103,"Buy","Hold")|Current: $103|||||(Row 31)
|||||||||(Row 32)
[4. DCF 계산 엔진 (Calculation)]||||||||(Row 33)
연도 (Year)|항목 (Item)|Ref|2025A|2026E|2027E|2028E|2029E|2030E|(Row 34)
(A) 이익 산출|FRE Profit (수수료)|Net Input|=D11|=E11|=F11|=G11|=H11|=I11|(Row 35)
(순이익 기준)|Carry Profit (보수)|Net Input|=D12|=E12|=F12|=G12|=H12|=I12|(Row 36)
(입력값 사용)|Ins Profit (투자)|Net Input|=D13|=E13|=F13|=G13|=H13|=I13|(Row 37)
|세전 이익 합계 (EBT)||=SUM(D35:D37)|=SUM(E35:E37)|=SUM(F35:F37)|=SUM(G35:G37)|=SUM(H35:H37)|=SUM(I35:I37)|(Row 38)
(B) 세금/DE|(-) 법인세 (Tax)||=D38*$C$20|=E38*$C$20|=F38*$C$20|=G38*$C$20|=H38*$C$20|=I38*$C$20|(Row 39)
|분배가능이익 (DE)||=D38-D39|=E38-E39|=F38-F39|=G38-G39|=H38-H39|=I38-I39|(Row 40)
|주당순이익 (DEPS)||=D40/$C$19|=E40/$C$19|=F40/$C$19|=G40/$C$19|=H40/$C$19|=I40/$C$19|(Row 41)
(C) 할인/가치|할인 기간 (Period)|-|0|0.5|1.5|2.5|3.5|4.5|(Row 42)
|할인 계수 (Factor)||=1|=1/(1+$C$22)^E42|=1/(1+$C$22)^F42|=1/(1+$C$22)^G42|=1/(1+$C$22)^H42|=1/(1+$C$22)^I42|(Row 43)
|현가 (PV of DE)|=DE*Factor|=D40*D43|=E40*E43|=F40*F43|=G40*G43|=H40*H43|=I40*I43|(Row 44)
(D) 최종 합산|사업가치 합계 (Sum PV)|=SUM(E44:I44)|(26~30년 PV 합계)|||||(Row 45)
|영구가치 (Terminal)|=(I40*(1+$C$23))/($C$22-$C$23)|(2030년 기준)|||||(Row 46)
|영구가치 현가 (PV TV)|=C46*I43|(현재가치로 환산)|||||(Row 47)
|자산가치 (SOTP)|=$C$21|(중복 제거됨)|||||(Row 48)
|총 주주가치 (Equity)|=SUM(C45,C47,C48)|(Sum + PV TV + SOTP)|||||(Row 49)
|주식수 (Shares)|=$C$19|(발행주식수)|||||(Row 50)
|적정 주가 (Price)|=C49/C50|($ 결과값)|||||(Row 51)</t>
  </si>
  <si>
    <t>(A) 디지털 미디어</t>
  </si>
  <si>
    <t>매출 성장률</t>
  </si>
  <si>
    <t>FY25 Guide: +11%</t>
  </si>
  <si>
    <t>(B) 디지털 경험</t>
  </si>
  <si>
    <t>FY25 Guide: +10%</t>
  </si>
  <si>
    <t>(C) 기타 부문</t>
  </si>
  <si>
    <t>Legacy</t>
  </si>
  <si>
    <t>(D) 영업이익률</t>
  </si>
  <si>
    <t>Op Margin</t>
  </si>
  <si>
    <t>FY24 Actual: 46%</t>
  </si>
  <si>
    <t>[1. 핵심 지표 입력 (Revenue Build-up)]</t>
  </si>
  <si>
    <t>2025E(Guide)</t>
  </si>
  <si>
    <t>(1) 구독 매출</t>
  </si>
  <si>
    <t>Digital Media Rev</t>
  </si>
  <si>
    <t>(2) 기업 매출</t>
  </si>
  <si>
    <t>Digital Exp Rev</t>
  </si>
  <si>
    <t>(3) 기타 매출</t>
  </si>
  <si>
    <t>Publishing &amp; Others</t>
  </si>
  <si>
    <t>(4) 전체 매출</t>
  </si>
  <si>
    <t>현재 주가</t>
  </si>
  <si>
    <t>Current Market Price</t>
  </si>
  <si>
    <t>★ 현재 시장가 ($)</t>
  </si>
  <si>
    <t>백만주 (FY24 확정)</t>
  </si>
  <si>
    <t>Non-GAAP 유효세율</t>
  </si>
  <si>
    <t>순현금</t>
  </si>
  <si>
    <t>Net Cash (Debt)</t>
  </si>
  <si>
    <t>Cash - Debt (FY24)</t>
  </si>
  <si>
    <t>TICKER: ADBE</t>
  </si>
  <si>
    <t>자본비용 (Risk 반영)</t>
  </si>
  <si>
    <t>영구 성장률</t>
  </si>
  <si>
    <t>가치 평가</t>
  </si>
  <si>
    <t>내재 가치 (Target)</t>
  </si>
  <si>
    <t>괴리율</t>
  </si>
  <si>
    <t>Upside / Downside</t>
  </si>
  <si>
    <t>시장가 대비 차이</t>
  </si>
  <si>
    <t>체크 1</t>
  </si>
  <si>
    <t>예상 EPS (26E)</t>
  </si>
  <si>
    <t>주당 순이익 ($)</t>
  </si>
  <si>
    <t>체크 2</t>
  </si>
  <si>
    <t>Forward P/E</t>
  </si>
  <si>
    <t>투자 매력도</t>
  </si>
  <si>
    <t>안전마진 15% 기준</t>
  </si>
  <si>
    <t>(Blank)</t>
  </si>
  <si>
    <t>2025E</t>
  </si>
  <si>
    <t>(영업이익 기준)</t>
  </si>
  <si>
    <t>Operating Margin (%)</t>
  </si>
  <si>
    <t>Operating Income (EBIT)</t>
  </si>
  <si>
    <t>(B) 세금/FCF</t>
  </si>
  <si>
    <t>세후 영업이익 (NOPAT)</t>
  </si>
  <si>
    <t>주당순이익 (EPS)</t>
  </si>
  <si>
    <t>NOPAT / Shares</t>
  </si>
  <si>
    <t>(1) 현금 가산 (Add-backs)</t>
  </si>
  <si>
    <t>(2) 설비 투자 (CapEx)</t>
  </si>
  <si>
    <t>잉여현금흐름 (FCF)</t>
  </si>
  <si>
    <t>현가 (PV of FCF)</t>
  </si>
  <si>
    <t>(2030년 FCF 기준)</t>
  </si>
  <si>
    <t>순현금 (Net Cash)</t>
  </si>
  <si>
    <t>(24년말 확정)</t>
  </si>
  <si>
    <t>(Row 52)</t>
  </si>
  <si>
    <t>(Equity Value)</t>
  </si>
  <si>
    <t>(Row 53)</t>
  </si>
  <si>
    <t>(희석주식수)</t>
  </si>
  <si>
    <t>(Row 54)</t>
  </si>
  <si>
    <t>(Row 55)</t>
  </si>
  <si>
    <t>[0. 시나리오 데이터베이스 (Scenario DB)]||||||||(Row 1)
구분|항목|선택된 값 (Formula)|Bear (1)|Base (2)|Bull (3)|비고||(Row 2)
시나리오 선택|입력 (1~3) -&gt;|2||||(C3: 숫자만 입력)||(Row 3)
(A) 디지털 미디어|매출 성장률|=CHOOSE($C$3,D4,E4,F4)|9.0%|11.5%|14.0%|FY25 Guide: +11%||(Row 4)
(B) 디지털 경험|매출 성장률|=CHOOSE($C$3,D5,E5,F5)|7.0%|10.0%|12.0%|FY25 Guide: +10%||(Row 5)
(C) 기타 부문|매출 성장률|=CHOOSE($C$3,D6,E6,F6)|-2.0%|0.0%|2.0%|Legacy||(Row 6)
(D) 영업이익률|Op Margin|=CHOOSE($C$3,D7,E7,F7)|45.0%|46.5%|48.0%|FY24 Actual: 46%||(Row 7)
|||||||||(Row 8)
[1. 핵심 지표 입력 (Revenue Build-up)]||||||||(Row 9)
구분|항목 (Unit: $M)|성장률(Link)|2025E(Guide)|2026E(자동)|2027E|2028E|2029E|2030E|(Row 10)
(1) 구독 매출|Digital Media Rev|=$C$4|17550|=D11*(1+$C11)|=E11*(1+$C11)|=F11*(1+$C11)|=G11*(1+$C11)|=H11*(1+$C11)|(Row 11)
(2) 기업 매출|Digital Exp Rev|=$C$5|5850|=D12*(1+$C12)|=E12*(1+$C12)|=F12*(1+$C12)|=G12*(1+$C12)|=H12*(1+$C12)|(Row 12)
(3) 기타 매출|Publishing &amp; Others|=$C$6|400|=D13*(1+$C13)|=E13*(1+$C13)|=F13*(1+$C13)|=G13*(1+$C13)|=H13*(1+$C13)|(Row 13)
(4) 전체 매출|Total Revenue|-|=SUM(D11:D13)|=SUM(E11:E13)|=SUM(F11:F13)|=SUM(G11:G13)|=SUM(H11:H13)|=SUM(I11:I13)|(Row 14)
|||||||||(Row 15)
|||||||||(Row 16)
[2. 고정 변수 (Fixed Assumptions)]||||||||(Row 17)
구분|항목|값 (Value)|설명|||||(Row 18)
현재 주가|Current Market Price|500|★ 현재 시장가 ($)|||||(Row 19)
주식수|Diluted Share Count|448|백만주 (FY24 확정)|||||(Row 20)
세금|Effective Tax Rate|18.0%|Non-GAAP 유효세율|||||(Row 21)
순현금|Net Cash (Debt)|5200|Cash - Debt (FY24)||TICKER: ADBE||(Row 22)
할인율|WACC (Discount)|=CHOOSE($C$3,10.5%,9.5%,8.5%)|자본비용 (Risk 반영)||||(Row 23)
영구성장|Terminal Growth|=CHOOSE($C$3,2.5%,3.0%,3.5%)|영구 성장률||||(Row 24)
|||||||||(Row 25)
[3. 결과 요약 (Output)]||||||||(Row 26)
구분|항목|값 (Result)|비고 (Note)|||||(Row 27)
시나리오|현재 상태 (Status)|=CHOOSE($C$3,"Bear (1)","Base (2)","Bull (3)")|선택됨|||||(Row 28)
가치 평가|내재 가치 (Target)|=C55|적정 주가 ($)|||||(Row 29)
괴리율|Upside / Downside|=C29/C19-1|시장가 대비 차이|||||(Row 30)
체크 1|예상 EPS (26E)|=E42|주당 순이익 ($)|||||(Row 31)
체크 2|예상 PER (26E)|=C19/E42|Forward P/E|||||(Row 32)
판단|투자 매력도|=IF(C30&gt;0.15,"저평가 (Buy)",IF(C30&lt;-0.15,"고평가 (Sell)","적정 (Hold)"))|안전마진 15% 기준|||||(Row 33)
|||||||||(Row 34)
[4. DCF 계산 엔진 (Calculation)]||||||||(Row 35)
연도 (Year)|항목 (Item)|(Blank)|2025E|2026E|2027E|2028E|2029E|2030E|(Row 36)
(A) 이익 산출|Total Revenue|-|=D14|=E14|=F14|=G14|=H14|=I14|(Row 37)
(영업이익 기준)|Operating Margin (%)|-|46.5%|=$C$7|=$C$7|=$C$7|=$C$7|=$C$7|(Row 38)
|Operating Income (EBIT)|-|=D37*D38|=E37*E38|=F37*F38|=G37*G38|=H37*H38|=I37*I38|(Row 39)
(B) 세금/FCF|(-) 법인세 (Tax)|-|=D39*$C$21|=E39*$C$21|=F39*$C$21|=G39*$C$21|=H39*$C$21|=I39*$C$21|(Row 40)
|세후 영업이익 (NOPAT)|-|=D39-D40|=E39-E40|=F39-F40|=G39-G40|=H39-H40|=I39-I40|(Row 41)
|주당순이익 (EPS)|NOPAT / Shares|=D41/$C$20|=E41/$C$20|=F41/$C$20|=G41/$C$20|=H41/$C$20|=I41/$C$20|(Row 42)
|(1) 현금 가산 (Add-backs)|-|0|0|0|0|0|0|(Row 43)
|(2) 설비 투자 (CapEx)|-|=D37*0.02|=E37*0.02|=F37*0.02|=G37*0.02|=H37*0.02|=I37*0.02|(Row 44)
|잉여현금흐름 (FCF)|-|=D41+D43-D44|=E41+E43-E44|=F41+F43-F44|=G41+G43-G44|=H41+H43-H44|=I41+I43-I44|(Row 45)
(C) 할인/가치|할인 기간 (Period)|-|0|0.5|1.5|2.5|3.5|4.5|(Row 46)
|할인 계수 (Factor)|-|=1|=1/(1+$C$23)^E46|=1/(1+$C$23)^F46|=1/(1+$C$23)^G46|=1/(1+$C$23)^H46|=1/(1+$C$23)^I46|(Row 47)
|현가 (PV of FCF)|-|=D45*D47|=E45*E47|=F45*F47|=G45*G47|=H45*H47|=I45*I47|(Row 48)
(D) 최종 합산|사업가치 합계 (Sum PV)|=SUM(E48:I48)|(26~30년 PV 합계)|||||(Row 49)
|영구가치 (Terminal)|=(I45*(1+$C$24))/($C$23-$C$24)|(2030년 FCF 기준)|||||(Row 50)
|영구가치 현가 (PV TV)|=C50*I47|(현재가치로 환산)|||||(Row 51)
|순현금 (Net Cash)|=$C$22|(24년말 확정)|||||(Row 52)
|총 주주가치 (Equity)|=SUM(C49,C51,C52)|(Equity Value)|||||(Row 53)
|주식수 (Shares)|=$C$20|(희석주식수)|||||(Row 54)
|적정 주가 (Price)|=C53/C54|($ 결과값)|||||(Row 55)</t>
  </si>
  <si>
    <t>선택된 값 (Target)</t>
  </si>
  <si>
    <t>All-In (1)</t>
  </si>
  <si>
    <t>C3에 1~3 입력</t>
  </si>
  <si>
    <t>(A) 클라우드</t>
  </si>
  <si>
    <t>성장 가속</t>
  </si>
  <si>
    <t>1번이 최소 기대치(30%)</t>
  </si>
  <si>
    <t>(B) 레거시</t>
  </si>
  <si>
    <t>레거시</t>
  </si>
  <si>
    <t>감소 추세</t>
  </si>
  <si>
    <t>HW/SVC</t>
  </si>
  <si>
    <t>현상 유지</t>
  </si>
  <si>
    <t>마진</t>
  </si>
  <si>
    <t>매출 폭증 시 마진 개선</t>
  </si>
  <si>
    <t>(E) 재투자율</t>
  </si>
  <si>
    <t>CapEx / NOPAT</t>
  </si>
  <si>
    <t>투자 강도</t>
  </si>
  <si>
    <t>1번은 이익 전액 재투자</t>
  </si>
  <si>
    <t>(F) 할인율</t>
  </si>
  <si>
    <t>WACC</t>
  </si>
  <si>
    <t>리스크</t>
  </si>
  <si>
    <t>1번은 고위험</t>
  </si>
  <si>
    <t>(G) 영구성장</t>
  </si>
  <si>
    <t>Terminal G</t>
  </si>
  <si>
    <t>장기성장</t>
  </si>
  <si>
    <t>초고성장 지속 가정</t>
  </si>
  <si>
    <t>2026E(Auto)</t>
  </si>
  <si>
    <t>(1) 클라우드 &amp; 지원</t>
  </si>
  <si>
    <t>Cloud &amp; License Support</t>
  </si>
  <si>
    <t>(2) 라이선스 &amp; 기타</t>
  </si>
  <si>
    <t>Cloud License &amp; On-Prem</t>
  </si>
  <si>
    <t>(3) 하드웨어 &amp; 서비스</t>
  </si>
  <si>
    <t>H/W &amp; Services</t>
  </si>
  <si>
    <t>[2. 고정 변수 (Fixed Assumptions) - 자금조달 상세]</t>
  </si>
  <si>
    <t>현재 위치(Row)</t>
  </si>
  <si>
    <t>검산(Check)</t>
  </si>
  <si>
    <t>Current Market Price ($)</t>
  </si>
  <si>
    <t>★ 현재 시장가 입력 ($)</t>
  </si>
  <si>
    <t>C23</t>
  </si>
  <si>
    <t>기존 주식수</t>
  </si>
  <si>
    <t>Old Share Count (M)</t>
  </si>
  <si>
    <t>백만 주 (Unit: Million)</t>
  </si>
  <si>
    <t>C24</t>
  </si>
  <si>
    <t>(+) 신규 ATM 금액</t>
  </si>
  <si>
    <t>New Equity ATM ($M)</t>
  </si>
  <si>
    <t>★ 백만달러 단위 입력</t>
  </si>
  <si>
    <t>C25</t>
  </si>
  <si>
    <t>가정: $20B</t>
  </si>
  <si>
    <t>(=) 신규 발행 주식</t>
  </si>
  <si>
    <t>New Shares Issued (M)</t>
  </si>
  <si>
    <t>백만 주 (금액/주가)</t>
  </si>
  <si>
    <t>C26</t>
  </si>
  <si>
    <t>[★] 최종 주식수</t>
  </si>
  <si>
    <t>Total Shares (Diluted)</t>
  </si>
  <si>
    <t>기존 + 신규 발행</t>
  </si>
  <si>
    <t>C27</t>
  </si>
  <si>
    <t>◀ 최종 분모</t>
  </si>
  <si>
    <t>기존 순부채</t>
  </si>
  <si>
    <t>Old Net Debt ($M)</t>
  </si>
  <si>
    <t>기존 부채 (마이너스)</t>
  </si>
  <si>
    <t>C28</t>
  </si>
  <si>
    <t>(+) 신규 채권 금액</t>
  </si>
  <si>
    <t>New Bond Debt ($M)</t>
  </si>
  <si>
    <t>C29</t>
  </si>
  <si>
    <t>가정: $30B</t>
  </si>
  <si>
    <t>[★] 최종 순부채</t>
  </si>
  <si>
    <t>Total Net Cash</t>
  </si>
  <si>
    <t>기존 - 신규채권</t>
  </si>
  <si>
    <t>C30</t>
  </si>
  <si>
    <t>C31</t>
  </si>
  <si>
    <t>부채 리스크 반영</t>
  </si>
  <si>
    <t>C32</t>
  </si>
  <si>
    <t>시나리오 (G)값 연동</t>
  </si>
  <si>
    <t>C33</t>
  </si>
  <si>
    <t>감가상각비</t>
  </si>
  <si>
    <t>D&amp;A ($M)</t>
  </si>
  <si>
    <t>★ 새로 추가된 Row 34</t>
  </si>
  <si>
    <t>C34</t>
  </si>
  <si>
    <t>참조 위치</t>
  </si>
  <si>
    <t>C37</t>
  </si>
  <si>
    <t>C38</t>
  </si>
  <si>
    <t>◀ 엔진 최종가(C65) 참조</t>
  </si>
  <si>
    <t>C39</t>
  </si>
  <si>
    <t>◀ (내재/현재)-1</t>
  </si>
  <si>
    <t>C40</t>
  </si>
  <si>
    <t>◀ 엔진 26E EPS 참조</t>
  </si>
  <si>
    <t>C41</t>
  </si>
  <si>
    <t>◀ 현재가 / 26E EPS</t>
  </si>
  <si>
    <t>C42</t>
  </si>
  <si>
    <t>D&amp;A</t>
  </si>
  <si>
    <t>(Row 53) ◀ Row 34 참조 완료</t>
  </si>
  <si>
    <t>전략적 비율</t>
  </si>
  <si>
    <t>(Row 55) ◀ NOPAT+D&amp;A-CapEx</t>
  </si>
  <si>
    <t>(Row 56)</t>
  </si>
  <si>
    <t>(Row 57)</t>
  </si>
  <si>
    <t>(Row 58)</t>
  </si>
  <si>
    <t>5개년 FCF 현가 합계</t>
  </si>
  <si>
    <t>(사업가치 부분 합계)</t>
  </si>
  <si>
    <t>(Row 59)</t>
  </si>
  <si>
    <t>(미래 시점 가치)</t>
  </si>
  <si>
    <t>(Row 60)</t>
  </si>
  <si>
    <t>(현재 가치 환산: C60 * I57)</t>
  </si>
  <si>
    <t>(Row 61)</t>
  </si>
  <si>
    <t>최종 순부채 참조</t>
  </si>
  <si>
    <t>(Row 62)</t>
  </si>
  <si>
    <t>주주 몫 (FCF합 + TV현가 + 순현금)</t>
  </si>
  <si>
    <t>(Row 63)</t>
  </si>
  <si>
    <t>최종 주식수 참조</t>
  </si>
  <si>
    <t>(Row 64)</t>
  </si>
  <si>
    <t>($117+@ 예상 결과값)</t>
  </si>
  <si>
    <t>(Row 65)</t>
  </si>
  <si>
    <t>[0. 시나리오 데이터베이스 (Scenario DB)]||||||||
구분|항목|선택된 값 (Target)|All-In (1)|Base (2)|Bull (3)|비고|설명|
시나리오 선택|입력 (1~3) -&gt;|1|||||C3에 1~3 입력|
(A) 클라우드|매출 성장률|=CHOOSE($C$3,D4,E4,F4)|30.0%|35.0%|40.0%|성장 가속|1번이 최소 기대치(30%)|
(B) 레거시|매출 성장률|=CHOOSE($C$3,D5,E5,F5)|-5.0%|-3.0%|-2.0%|레거시|감소 추세|
(C) 기타 부문|매출 성장률|=CHOOSE($C$3,D6,E6,F6)|0.0%|1.0%|2.0%|HW/SVC|현상 유지|
(D) 영업이익률|Op Margin|=CHOOSE($C$3,D7,E7,F7)|40.0%|44.0%|45.0%|마진|매출 폭증 시 마진 개선|
(E) 재투자율|CapEx / NOPAT|=CHOOSE($C$3,D8,E8,F8)|80.0%|70.0%|60.0%|투자 강도|1번은 이익 전액 재투자|
(F) 할인율|WACC|=CHOOSE($C$3,D9,E9,F9)|10.0%|9.0%|8.0%|리스크|1번은 고위험|
(G) 영구성장|Terminal G|=CHOOSE($C$3,D10,E10,F10)|3.0%|3.5%|4.0%|장기성장|초고성장 지속 가정|
||||||||
||||||||
[1. 핵심 지표 입력 (Revenue Build-up)]||||||||
구분|항목 (Unit: $M)|성장률(Link)|2025E(Guide)|2026E(Auto)|2027E|2028E|2029E|2030E|
(1) 클라우드 &amp; 지원|Cloud &amp; License Support|=$C$4|41500|=D15*(1+$C15)|=E15*(1+$C15)|=F15*(1+$C15)|=G15*(1+$C15)|=H15*(1+$C15)|
(2) 라이선스 &amp; 기타|Cloud License &amp; On-Prem|=$C$5|5000|=D16*(1+$C16)|=E16*(1+$C16)|=F16*(1+$C16)|=G16*(1+$C16)|=H16*(1+$C16)|
(3) 하드웨어 &amp; 서비스|H/W &amp; Services|=$C$6|5500|=D17*(1+$C17)|=E17*(1+$C17)|=F17*(1+$C17)|=G17*(1+$C17)|=H17*(1+$C17)|
(4) 전체 매출|Total Revenue|-|=SUM(D15:D17)|=SUM(E15:E17)|=SUM(F15:F17)|=SUM(G15:G17)|=SUM(H15:H17)|=SUM(I15:I17)|
||||||||
||||||||
[2. 고정 변수 (Fixed Assumptions) - 자금조달 상세]||||||||
구분|항목|값 (Value)|설명|현재 위치(Row)||검산(Check)|
현재 주가|Current Market Price ($)|157|★ 현재 시장가 입력 ($)|C23|||
기존 주식수|Old Share Count (M)|2760|백만 주 (Unit: Million)|C24|||
(+) 신규 ATM 금액|New Equity ATM ($M)|20000|★ 백만달러 단위 입력|C25|가정: $20B||
(=) 신규 발행 주식|New Shares Issued (M)|=C25/C23|백만 주 (금액/주가)|C26|||
[★] 최종 주식수|Total Shares (Diluted)|=C24+C26|기존 + 신규 발행|C27|◀ 최종 분모||
기존 순부채|Old Net Debt ($M)|-88000|기존 부채 (마이너스)|C28|||
(+) 신규 채권 금액|New Bond Debt ($M)|30000|★ 백만달러 단위 입력|C29|가정: $30B||
[★] 최종 순부채|Total Net Cash|=C28-C29|기존 - 신규채권|C30|||
세금|Effective Tax Rate|19.0%|Non-GAAP 유효세율|C31|||
할인율|WACC (Discount)|=$C$9|부채 리스크 반영|C32|||
영구성장|Terminal Growth|=$C$10|시나리오 (G)값 연동|C33|||
||||||||
[3. 결과 요약 (Output)]||||||||
구분|항목|값 (Result)|비고 (Note)|참조 위치|||
시나리오|현재 상태 (Status)|=CHOOSE($C$3,"All-In (1)","Base (2)","Bull (3)")|선택됨|C36|||
가치 평가|내재 가치 (Target)|=C64|적정 주가 ($)|C37|◀ 엔진 최종가(C64) 참조||
괴리율|Upside / Downside|=(C39/C23)-1|시장가 대비 차이|C38|◀ (내재/현재)-1||
체크 1|예상 EPS (26E)|=E51|주당 순이익 ($)|C39|◀ 엔진 26E EPS 참조||
체크 2|예상 PER (26E)|=C23/E51|Forward P/E|C40|◀ 현재가 / 26E EPS||
판단|투자 매력도|=IF(C39&gt;0.15,"저평가 (Buy)",IF(C39&lt;-0.15,"고평가 (Sell)","적정 (Hold)"))|안전마진 15% 기준|C41|||
||||||||
[4. DCF 계산 엔진 (Calculation)]||||||||
연도 (Year)|항목 (Item)|(Blank)|2025E|2026E|2027E|2028E|2029E|2030E| (Row 45)
(A) 이익 산출|Total Revenue|-|=D18|=E18|=F18|=G18|=H18|=I18| (Row 46)
(영업이익 기준)|Operating Margin (%)|-|=$C$7|=$C$7|=$C$7|=$C$7|=$C$7|=$C$7| (Row 47)
|Operating Income (EBIT)|-|=D46*D47|=E46*D47|=F46*D47|=G46*D47|=H46*D47|=I46*D47| (Row 48)
(B) 세금/FCF|(-) 법인세 (Tax)|-|=D48*$C$31|=E48*$C$31|=F48*$C$31|=G48*$C$31|=H48*$C$31|=I48*$C$31| (Row 49)
|세후 영업이익 (NOPAT)|-|=D48-D49|=E48-E49|=F48-F49|=G48-G49|=H48-H49|=I48-I49| (Row 50)
|주당순이익 (EPS)|NOPAT / Shares|=D50/$C$27|=E50/$C$27|=F50/$C$27|=G50/$C$27|=H50/$C$27|=I50/$C$27| (Row 51)
|(1) 현금 가산 (Add-backs)|-|0|0|0|0|0|0| (Row 52)
|(2) 설비 투자 (CapEx)|전략적 비율|=IF(VALUE(LEFT(D$45,4))&lt;2028,D50*$C$8,D46*0.1)|=IF(VALUE(LEFT(E$45,4))&lt;2028,E50*$C$8,E46*0.1)|=IF(VALUE(LEFT(F$45,4))&lt;2028,F50*$C$8,F46*0.1)|=IF(VALUE(LEFT(G$45,4))&lt;2028,G50*$C$8,G46*0.1)|=IF(VALUE(LEFT(H$45,4))&lt;2028,H50*$C$8,H46*0.1)|=IF(VALUE(LEFT(I$45,4))&lt;2028,I50*$C$8,I46*0.1)| (Row 53)
|잉여현금흐름 (FCF)|-|=D50+D52-D53|=E50+E52-E53|=F50+F52-F53|=G50+G52-G53|=H50+H52-H53|=I50+I52-I53| (Row 54)
(C) 할인/가치|할인 기간 (Period)|-|0|0.5|1.5|2.5|3.5|4.5| (Row 55)
|할인 계수 (Factor)|-|=1|=1/(1+$C$32)^E55|=1/(1+$C$32)^F55|=1/(1+$C$32)^G55|=1/(1+$C$32)^H55|=1/(1+$C$32)^I55| (Row 56)
|현가 (PV of FCF)|-|=D54*D56|=E54*E56|=F54*E56|=G54*G56|=H54*H56|=I54*I56| (Row 57)
(D) 최종 합산|5개년 FCF 현가 합계|=SUM(E57:I57)|(사업가치 부분 합계)||||| (Row 58)
|영구가치 (Terminal)|=(I54*(1+$C$33))/($C$32-$C$33)|(미래 시점 가치)||||| (Row 59)
|영구가치 현가 (PV TV)|=C59*I56|(현재 가치 환산: C59 * I56)||||| (Row 60) ◀ 님의 요청대로 수정완료!
|순현금 (Net Cash)|=$C$30|최종 순부채 참조||||| (Row 61)
|총 주주가치 (Equity)|=C58+C60+C61|주주 몫 (FCF합 + TV현가 + 순현금)||||| (Row 62)
|주식수 (Shares)|=$C$27|최종 주식수 참조||||| (Row 63)
|적정 주가 (Price)|=C62/C63|($117 예상 결과값)||||| (Row 64)</t>
  </si>
  <si>
    <t>(A) App Software</t>
  </si>
  <si>
    <t>ROP 최대 수익원 (SaaS)</t>
  </si>
  <si>
    <t>(B) Network/Systems</t>
  </si>
  <si>
    <t>안정적 반복 매출</t>
  </si>
  <si>
    <t>(C) Tech Products</t>
  </si>
  <si>
    <t>산업용 제품 (Cash Cow)</t>
  </si>
  <si>
    <t>Non-GAAP 기준</t>
  </si>
  <si>
    <t>(1) App Software</t>
  </si>
  <si>
    <t>Application Software</t>
  </si>
  <si>
    <t>(2) Network/Sys</t>
  </si>
  <si>
    <t>Network &amp; Systems</t>
  </si>
  <si>
    <t>(3) Tech Products</t>
  </si>
  <si>
    <t>Tech Enabled Products</t>
  </si>
  <si>
    <t>유효 법인세율</t>
  </si>
  <si>
    <t>순현금(부채)</t>
  </si>
  <si>
    <t>★ M&amp;A 부채 (음수 입력)</t>
  </si>
  <si>
    <t>TICKER: ROP</t>
  </si>
  <si>
    <t>자본비용 (SaaS 안정성)</t>
  </si>
  <si>
    <t>(음수로 입력되어 부채 차감)</t>
  </si>
  <si>
    <t>[0. 시나리오 데이터베이스 (Scenario DB)]||||||||(Row 1)
구분|항목|선택된 값 (Formula)|Bear (1)|Base (2)|Bull (3)|비고||(Row 2)
시나리오 선택|입력 (1~3) -&gt;|2||||(C3: 숫자만 입력)||(Row 3)
(A) App Software|매출 성장률|=CHOOSE($C$3,D4,E4,F4)|5.0%|10.0%|15.0%|ROP 최대 수익원 (SaaS)||(Row 4)
(B) Network/Systems|매출 성장률|=CHOOSE($C$3,D5,E5,F5)|3.0%|6.0%|9.0%|안정적 반복 매출||(Row 5)
(C) Tech Products|매출 성장률|=CHOOSE($C$3,D6,E6,F6)|1.0%|4.0%|7.0%|산업용 제품 (Cash Cow)||(Row 6)
(D) 영업이익률|Op Margin|=CHOOSE($C$3,D7,E7,F7)|38.0%|41.0%|43.0%|Non-GAAP 기준||(Row 7)
|||||||||(Row 8)
[1. 핵심 지표 입력 (Revenue Build-up)]||||||||(Row 9)
구분|항목 (Unit: $M)|성장률(Link)|2025E(Guide)|2026E(자동)|2027E|2028E|2029E|2030E|(Row 10)
(1) App Software|Application Software|=$C$4|4200|=D11*(1+$C11)|=E11*(1+$C11)|=F11*(1+$C11)|=G11*(1+$C11)|=H11*(1+$C11)|(Row 11)
(2) Network/Sys|Network &amp; Systems|=$C$5|1900|=D12*(1+$C12)|=E12*(1+$C12)|=F12*(1+$C12)|=G12*(1+$C12)|=H12*(1+$C12)|(Row 12)
(3) Tech Products|Tech Enabled Products|=$C$6|1800|=D13*(1+$C13)|=E13*(1+$C13)|=F13*(1+$C13)|=G13*(1+$C13)|=H13*(1+$C13)|(Row 13)
(4) 전체 매출|Total Revenue|-|=SUM(D11:D13)|=SUM(E11:E13)|=SUM(F11:F13)|=SUM(G11:G13)|=SUM(H11:H13)|=SUM(I11:I13)|(Row 14)
|||||||||(Row 15)
|||||||||(Row 16)
[2. 고정 변수 (Fixed Assumptions)]||||||||(Row 17)
구분|항목|값 (Value)|설명|||||(Row 18)
현재 주가|Current Market Price|530|★ 현재 시장가 ($)|||||(Row 19)
주식수|Diluted Share Count|107|백만주 (FY24 확정)|||||(Row 20)
세금|Effective Tax Rate|21.0%|유효 법인세율|||||(Row 21)
순현금(부채)|Net Cash (Debt)|-8800|★ M&amp;A 부채 (음수 입력)||TICKER: ROP||(Row 22)
할인율|WACC (Discount)|=CHOOSE($C$3,9.5%,8.5%,7.5%)|자본비용 (SaaS 안정성)||||(Row 23)
영구성장|Terminal Growth|=CHOOSE($C$3,2.0%,3.0%,4.0%)|영구 성장률||||(Row 24)
|||||||||(Row 25)
[3. 결과 요약 (Output)]||||||||(Row 26)
구분|항목|값 (Result)|비고 (Note)|||||(Row 27)
시나리오|현재 상태 (Status)|=CHOOSE($C$3,"Bear (1)","Base (2)","Bull (3)")|선택됨|||||(Row 28)
가치 평가|내재 가치 (Target)|=C55|적정 주가 ($)|||||(Row 29)
괴리율|Upside / Downside|=C29/C19-1|시장가 대비 차이|||||(Row 30)
체크 1|예상 EPS (26E)|=E42|주당 순이익 ($)|||||(Row 31)
체크 2|예상 PER (26E)|=C19/E42|Forward P/E|||||(Row 32)
판단|투자 매력도|=IF(C30&gt;0.15,"저평가 (Buy)",IF(C30&lt;-0.15,"고평가 (Sell)","적정 (Hold)"))|안전마진 15% 기준|||||(Row 33)
|||||||||(Row 34)
[4. DCF 계산 엔진 (Calculation)]||||||||(Row 35)
연도 (Year)|항목 (Item)|(Blank)|2025E|2026E|2027E|2028E|2029E|2030E|(Row 36)
(A) 이익 산출|Total Revenue|-|=D14|=E14|=F14|=G14|=H14|=I14|(Row 37)
(영업이익 기준)|Operating Margin (%)|-|41.0%|=$C$7|=$C$7|=$C$7|=$C$7|=$C$7|(Row 38)
|Operating Income (EBIT)|-|=D37*D38|=E37*E38|=F37*F38|=G37*G38|=H37*H38|=I37*I38|(Row 39)
(B) 세금/FCF|(-) 법인세 (Tax)|-|=D39*$C$21|=E39*$C$21|=F39*$C$21|=G39*$C$21|=H39*$C$21|=I39*$C$21|(Row 40)
|세후 영업이익 (NOPAT)|-|=D39-D40|=E39-E40|=F39-F40|=G39-G40|=H39-H40|=I39-I40|(Row 41)
|주당순이익 (EPS)|NOPAT / Shares|=D41/$C$20|=E41/$C$20|=F41/$C$20|=G41/$C$20|=H41/$C$20|=I41/$C$20|(Row 42)
|(1) 현금 가산 (Add-backs)|-|=D37*0.12|=E37*0.12|=F37*0.12|=G37*0.12|=H37*0.12|=I37*0.12|(Row 43)
|(2) 설비 투자 (CapEx)|-|=D37*0.01|=E37*0.01|=F37*0.01|=G37*0.01|=H37*0.01|=I37*0.01|(Row 44)
|잉여현금흐름 (FCF)|-|=D41+D43-D44|=E41+E43-E44|=F41+F43-F44|=G41+G43-G44|=H41+H43-H44|=I41+I43-I44|(Row 45)
(C) 할인/가치|할인 기간 (Period)|-|0|0.5|1.5|2.5|3.5|4.5|(Row 46)
|할인 계수 (Factor)|-|=1|=1/(1+$C$23)^E46|=1/(1+$C$23)^F46|=1/(1+$C$23)^G46|=1/(1+$C$23)^H46|=1/(1+$C$23)^I46|(Row 47)
|현가 (PV of FCF)|-|=D45*D47|=E45*E47|=F45*F47|=G45*G47|=H45*H47|=I45*I47|(Row 48)
(D) 최종 합산|사업가치 합계 (Sum PV)|=SUM(E48:I48)|(26~30년 PV 합계)|||||(Row 49)
|영구가치 (Terminal)|=(I45*(1+$C$24))/($C$23-$C$24)|(2030년 FCF 기준)|||||(Row 50)
|영구가치 현가 (PV TV)|=C50*I47|(현재가치로 환산)|||||(Row 51)
|순현금 (Net Cash)|=$C$22|(음수로 입력되어 부채 차감)|||||(Row 52)
|총 주주가치 (Equity)|=SUM(C49,C51,C52)|(Equity Value)|||||(Row 53)
|주식수 (Shares)|=$C$20|(희석주식수)|||||(Row 54)
|적정 주가 (Price)|=C53/C54|($ 결과값)|||||(Row 55)</t>
  </si>
  <si>
    <t>티커</t>
  </si>
  <si>
    <t>Price</t>
  </si>
  <si>
    <t>Bear Case</t>
  </si>
  <si>
    <t>Base Case</t>
  </si>
  <si>
    <t>Bull Case</t>
  </si>
  <si>
    <t>KNSL</t>
  </si>
  <si>
    <t>INTU</t>
  </si>
  <si>
    <t>SNPS</t>
  </si>
  <si>
    <t>PDFS</t>
  </si>
  <si>
    <t>total</t>
  </si>
  <si>
    <t>1st</t>
  </si>
  <si>
    <t>2st</t>
  </si>
  <si>
    <t>sw</t>
  </si>
  <si>
    <t>mt</t>
  </si>
  <si>
    <t xml:space="preserve"> 이익을 내는 이유 이익을 내지 못하는 이유</t>
  </si>
  <si>
    <t>그림으로 표현할 수 없는 아이디어에는 투자하지 말라</t>
  </si>
  <si>
    <t>과거로는 미래를 알 수 없다. 겁먹어서 기회를 놓치지마라</t>
  </si>
  <si>
    <t>경쟁요소가 없는곳, 누가 폐기물 사업을 하려고 할것이며 막대한 돈을 투자 하겟는가?</t>
  </si>
  <si>
    <t>독점적이라면 가격을 올릴 수 있다.</t>
  </si>
  <si>
    <t>다른 사람들이 매일 구매하는 기업을 사겠음. 장난감 같은 경우 한번 매장에 치워지면 (유행타서) 다른 기업으로 대체됨.</t>
  </si>
  <si>
    <t>내무자 매도는 그냥 아무 의미 없다 ㅋㅋ..</t>
  </si>
  <si>
    <t>피하는 종목</t>
  </si>
  <si>
    <t>가장 인기있고 가장 주목받으며 가장 좋은 평판에 아무나 다 말하는 주식.. ㅋㅋ 대게이런 죽식은 알려진 가치에 비해 빠르게 상승하며 희망과 허공 밖에 없음...</t>
  </si>
  <si>
    <t>ex</t>
  </si>
  <si>
    <t>고성장 인기 업종은 경쟁이 너무 빡시기 떄문에 아무런 이득도 얻을 수 없음....</t>
  </si>
  <si>
    <t>Market Value</t>
  </si>
  <si>
    <t>제 2의 아무개.. ㅋㅋ 는 가져다 버려라...</t>
  </si>
  <si>
    <t>ㅋㅋ.. 신생기업 상장 기업은 그냥 이익이 없음으로 퍼도 없고 아무것도 없다. 그냥 실적을 보여줄 때 까지 기다려라 그래도 안늦다. 초기 매수세에 눈깔 돌면 안된다...</t>
  </si>
  <si>
    <t>이익이나 자산이 가장 중요하다.... 가치는 항상 승리한다.</t>
  </si>
  <si>
    <t>주가가 고평과 되었는지 즉시 판단하는 방법은 주가 곡선과 이익 곡선을 비교하는것...</t>
  </si>
  <si>
    <t>per는 투자 금액을 몇년만에 회수할 수 있는지. 10배면 10년이 걸림.</t>
  </si>
  <si>
    <t>per는 업종 평균에 비해 어느 수준인지 과거 기록에 대비해서 어느정도인지. 정도로 분석 가능.</t>
  </si>
  <si>
    <t>per가 엄청나게 높다면 이익 증가율이 엄청나게 높아야 함. 기업에 이 방도가 없으면 원래자리로 돌아감.</t>
  </si>
  <si>
    <t>높은 per를 지탱하기 위해서는 어떤제품을 얼마나 팔아야 하는가?</t>
  </si>
  <si>
    <t>미래이익을 어떻게 예측해야 할까? 현재 이익을 바탕으로 주식이 적절하게 평가되었는지 판단하는 정도..</t>
  </si>
  <si>
    <t>회사가 미래 이익을 증대하기 위해서는 5가지 밖에 없음. 비용절감, 가격인상, 신규시장 진출, 기존 시장에서 매출 늘림, 적자 사업 재활성화/중단/매각</t>
  </si>
  <si>
    <t>스토리 파악. 이익의 성장을 가속화를 위해 무엇을 하고 있는지 확인하는 것.</t>
  </si>
  <si>
    <t>주식에 흥미를 느끼는 이유. 회사가 성공하려면 무엇이 필요한지, 앞길에 놓인 함정은 뭔지?</t>
  </si>
  <si>
    <t>저성장주 새로운 사업을 시작하면 성장율이 얼마나 높아질지</t>
  </si>
  <si>
    <t>경기 순환주라면 사업환경 재고 물가 를 볼때 매출이 증가하고 비효율적인 공장을  폐쇄하거나 임금 절감 등 이익이 어떻게 상승할지.</t>
  </si>
  <si>
    <t>자산주라면 자산이 무엇이고 그 가치가 얼마나 되는지.</t>
  </si>
  <si>
    <t>회생주라면 회사 운명을 개선하기 위해 어떤 작업 및 어떤 진전을 보고 있는지.</t>
  </si>
  <si>
    <t>대형 우량주라면 per는 얼만지 성장율 높이기 위해 어떤 작업을 진행하고 있는 지.</t>
  </si>
  <si>
    <t>고성장주라면 어떤 방법으로 고성장을 지속할 수 있는가. 매장확장이나 그런 것들.</t>
  </si>
  <si>
    <t>다른곳에서 성공하는 모습을 보고 사도 안늦다... 성공하는 모습을 보고 사더라도 더 폭발적으로 성장 할 것이기 때문에 주가는 상승할것임. 반대로 성공하는 모습을 보지 않고 사서 혹시라도 망한다면 그냥 돈 다 잃는것.</t>
  </si>
  <si>
    <t>재무제표 보기</t>
  </si>
  <si>
    <t>유동자산이라고 쓰여진 칸에 회사의 현금 및 현금성 자산이 나옴. 현금 및 현금성 자산과 유가증구너을 합하면 현금성 자산 총액이 나옴 이를 전년도랑 비교해서 증가한다면 회사의 번영을 나타내는 확실한 신호</t>
  </si>
  <si>
    <t xml:space="preserve">장기부채 장기부채가 전년도 부다 대폭 간소 했다면 번영을 나타내는 신호. </t>
  </si>
  <si>
    <t>현금보다 부채가 늘어나면 재무제표가 악화됨.</t>
  </si>
  <si>
    <t>현금성 자산 총액에서 장기 부채를 빼면 기업의 순현금 보유량. 기업에 어떤 일이 발생해도 금방 망하지 않는다.</t>
  </si>
  <si>
    <t>단기부채는 그냥 넘어가자. 쓸데없이 문제를 복잡하게 보지 않음. 단순히 회사의 재고 등 다른 자산으로 단기 부채를 감당할 수 있다고 생각되면 그냥 넘어감.</t>
  </si>
  <si>
    <t>제무요약으로 넘어가서 유통주식 수가 나옴 순 현금을 유통주식수로 나누면 한주당 순 현금이 나옴.</t>
  </si>
  <si>
    <t>매출액</t>
  </si>
  <si>
    <t>매출액에서 차지하는 비중 계산해서 얼마나 차지하는지를 알아야 전체의 적정 상승분을 계산할 수 있음.</t>
  </si>
  <si>
    <t>PER</t>
  </si>
  <si>
    <t>per는 회사의 성장율과 같음. 여기서 성장율은 이익 성장율. 그래서 per가 15라면 연 15퍼 상승이라 볼 수 있음. per이 성장율보다 낮다면 헐값인 셈. 일반적으로 per이 성장율의 절반이라면 매우 유망.</t>
  </si>
  <si>
    <t>회사의 성장율 per는 연간 이익을 찾은 뒤 연간 이익 증가율을 찾으면 됨. 배당을 포함하려면 장기 성장율을 구하고 배당수익율을 더한 뒤 per로 나누면 됨. 여기서 1.5면 양호하지만 찾으려는건 2 이상인 주식</t>
  </si>
  <si>
    <t>기업명</t>
  </si>
  <si>
    <t>장기성장율</t>
  </si>
  <si>
    <t>배당수익율</t>
  </si>
  <si>
    <t>per</t>
  </si>
  <si>
    <t>이익성장율</t>
  </si>
  <si>
    <t>이렇게 계산해볼 수 있음.</t>
  </si>
  <si>
    <t>현금보유량</t>
  </si>
  <si>
    <t>현금 보유량도 하나의 가진 자산임.  기업이 현금 보유량이 많다면 주식수로 나눠서 주당 얼마의 현금이 있는지 확인한 후 주가에서 빼고, 이렇게 빠진 주가에서 per를 계산 해보는거</t>
  </si>
  <si>
    <t>이 현금이 어떻게 사용되냐에 따라 주가가 움직임. 배당을 높이고 자사주를 매입한다면 매우 좋다.</t>
  </si>
  <si>
    <t xml:space="preserve">부채요소 </t>
  </si>
  <si>
    <t>회생주나 문제 기업이라면 부채에 특별히 관심을 기울여야 함. 생존과 파산의 영역이기 때문. 부채가 많은 신생기업은 피하라.</t>
  </si>
  <si>
    <t>부채의종류로는  은행대출금과 장기차입금이 있음. 은행대출금은 은행이 요구하면 갚아야함.. 그래서 매우 나쁜종류, 장기차입금은 채무자가 이자만 계속 지급하면 상황이 아무리 좋대도 조기상환요구를 할 수 없음</t>
  </si>
  <si>
    <t>배당</t>
  </si>
  <si>
    <t>성장한 기업들은 성장에 비용을 지출하느라 배당을 줄 여력이 없음. 배당을 준다는것은 비용에 큰 돈을 쓸일이 없다는것. 그래서 그냥 쌓이는 현금을 자사주로 매입하거나 배당으로 돌려주는것.</t>
  </si>
  <si>
    <t>배당을 바라보고 매수하려면 경기침체와 난관을 맞이해도 배당을 지급할 회사인지 확인해야 함. 매당의 가치를 믿는다면 어떠한 역경에도 배당을 빠뜨리기는 커녕 줄여본적도 없는 회사가 보유할만한 종목임.</t>
  </si>
  <si>
    <t>부채가 많은 기업들은 배당을 지급할 여력이 없음. 배당을 받고자 한다면 부채를 확인해야 함. 현금을 얼마나가지고 있어 배당을 얼마나 유지할 수 있느냐 그런것들 추가.</t>
  </si>
  <si>
    <t>경기 순환주는 안정적으로 배당을 지급하는 종목이 아님.</t>
  </si>
  <si>
    <t>장부 가치</t>
  </si>
  <si>
    <t>장부가치에 적힌 자산이 뻥자산인지 확인해야함. 장비가 장부에 잡힐때는 구입한 비용으로 잡히는데 팔게된다면 그냥 고철일수도 있음. 특히 부채가 많을경우 더 조심해야함</t>
  </si>
  <si>
    <t>가진 현금이 얼마고 단기 부채에는 어떤요소가 들어가는지, 장기부채에는 어떤 요소가 있는지 등을 확인.</t>
  </si>
  <si>
    <t>숨은자산</t>
  </si>
  <si>
    <t>장부가치가 부풀려지는 경우도 많지만 축소되는 경우도 많음. 토지 목재 석유 귀금속을 포함한 기업들은 자산의 장부 가치가 실제 가치의 몇분의 1 수준일떄도 있음.</t>
  </si>
  <si>
    <t>취득 원가라던지 30년전 가격이라던지 땅값이 오르거나 석유값이 오르는 등의 일이 있는경우 주가가 움직일 것임.</t>
  </si>
  <si>
    <t>취득한 자산들은 감가상각으로 시간을 두고 사라짐. 자산에는 있는데 장부에는 없음..;;</t>
  </si>
  <si>
    <t>상각이 끝나는 시점부터 갑자기 주당 이익이 증가함..</t>
  </si>
  <si>
    <t>현금흐름</t>
  </si>
  <si>
    <t>현금흐름은 사업의 결과로 회사가 벌어들이는 돈이 양</t>
  </si>
  <si>
    <t>모든 회사가 돈을 벌지만 이를 위해서 지출하는 금액은 회사마다 다름. 여기서 결정적인 차이를 보임.</t>
  </si>
  <si>
    <t>돈을 벌기 위해서 돈을 써야하는 상황이라면 그런 회사는 성공하기 힘듬.</t>
  </si>
  <si>
    <t>자본 지출에 매달리지 않아도 되는 회사가 알짜. 돈을 벌기 쉬움.</t>
  </si>
  <si>
    <t xml:space="preserve">현금흐름 으로 주식을 평가할수도 있음. 20달러의 주식의 연간 현금흐름이 2달라이면 10%보상이라 해도 잘 맞아 떨어짐. </t>
  </si>
  <si>
    <t>현금흐름 으로 주식을 매수한다면 그 숫자가 잉여현금흐름(Free Cash Flow)인지 확인해라 FCF는 정상적인 자본지출을 차감한 뒤 남는 현금 흐름을 말함. 이 돈은 더는 지출할 필요가 없는 돈이다.</t>
  </si>
  <si>
    <t>자산주에 몰두하는 투자자는 회사가 평범해서 변화가 없고 현금흐름이 많으며 소유주가 사업을 확정할 생각이 없는 회사를 찾는다. 이런 회사는 컨테이너를 잔뜩 보유한 뒤 그냥 그 컨ㅌ이너로 가급적 많은 현금을 뽑아내는것.</t>
  </si>
  <si>
    <t>재고</t>
  </si>
  <si>
    <t>재고도 무슨 시간차가 있기 때문에 복잡한데 간단히 확인하는 방법은 재고가 늘었는지 줄었는지를 확인하는 것.  재고가 쌓이면 가격을 내릴 수 밖에 없고 이익이 줄어드는 당연한 이치.</t>
  </si>
  <si>
    <t>성장율</t>
  </si>
  <si>
    <t>이익이야 말로 진정으로 유일한 성장률임. 판매가 떨어져도 원가를 낮추고 담배가격을 인상한다면 이익이 증가하기 때문에 성장임.</t>
  </si>
  <si>
    <t>원가가 4퍼 상승하면 가격을 6퍼 올리고 이익률이 2퍼 올라감 이익율이 10퍼였따면 이익이 20% 증가 함. ???</t>
  </si>
  <si>
    <t>고객을 잃지 않으면서 매년 가격을 올릴 수 잇는 회사가 좋음</t>
  </si>
  <si>
    <t>여기에 투자도 필요없고 돈 버는데 큰 돈이 추가로 필요하지 않기 때문에 돈이 남아돌음...;</t>
  </si>
  <si>
    <t>다른 조건이 같다면 이익의 20배에 거래되는 성장율 20% 기업이 이익 10배에 거래되는 성장율 10%기업보다 더 좋음. 간단하게 둘다 1달러에서 시작한다면 10년 뒤에는 2배 차이가 나있음</t>
  </si>
  <si>
    <t>스토리를 재확인해라</t>
  </si>
  <si>
    <t>회사의 스토리를 몇달에 한번씩은 계속 확인해야 함.</t>
  </si>
  <si>
    <t>번영의 조짐이 보이는지 무슨 방법으로 성장을 계속 할것인지. 질문을 계속 던져야 함.</t>
  </si>
  <si>
    <t>기업은 3단계가 있는데 초창기에는 사업에 발생하는 문제를 해결하고, 고속 성장기에는 신규시장에 진입함. 성숙기에 들어간 기업은 사업 확장을 지속하기 어렵다는 사실에 직면함,</t>
  </si>
  <si>
    <t>첫 단계의 투자가 가장 위험함... 성공 기반이 아직 확립되지 않았기 때문. 두번째 단계가 가장 안정하면서 수익도 가장 많이 발생 함. 왜냐하면 성공 공식을 복제하면서 성장하기 때문.</t>
  </si>
  <si>
    <t>세번째는 가장 골치 아픔. 이익을 증대할 다른 방법을 찾아야 함. 마지막 단계에 이르면 PER가 떨어짐. 다른 고객을 뺏어오거나 등의 비효율 발생. 고성장의 벨루를 반납. 고성장주의 per인 30 배에서 대형 우량주인 12배로 떨어지는 등. PER가 떨어졌다고 해서 주사가 떨어지는것은 아님 주가는 횡보해도 per는 떨어질 수 있음. 그냥 적정 주가로 회귀한다고 보면 됨.</t>
  </si>
  <si>
    <t xml:space="preserve">투자자는 회사가 한 단계에서 다음 단계로 넘어가고 있는지 판단해야 함. </t>
  </si>
  <si>
    <t>이미 시장을 40퍼나 차자하고 있는데 어떻게 더 성장할 수 있는가? 국민 100%가 한 제품을 사용하도록 설득할 수 없음.</t>
  </si>
  <si>
    <t>최종점검 목록</t>
  </si>
  <si>
    <t>per 같은 업종의 비슷한 회사에 대해서 per가 어떤가?</t>
  </si>
  <si>
    <t>기관투자자의 보유 비중은? 낮을수록 좋음</t>
  </si>
  <si>
    <t>내부자들이 매입하는가? 회사가 자사주를 매입하는가?</t>
  </si>
  <si>
    <t>지금까지 이익 성장 실적은 어떤가, 단발성인가, 지속성인가</t>
  </si>
  <si>
    <t xml:space="preserve">회사의 재무제표가 건전한가 취약한가 부채비율은 </t>
  </si>
  <si>
    <t xml:space="preserve">현금보유량은 어떤가 </t>
  </si>
  <si>
    <t>저성장주</t>
  </si>
  <si>
    <t>저성장주는 배당이 중요하다. 배당이 아니라면 보유할 필요가 없음. 항상 배당이 지급되었는지 꾸준하게 증가 했는지 확인</t>
  </si>
  <si>
    <t>가급이면 배당이 이익에서 차지하는 비중을 확인. 곤경에 처하더라도 여유가 있는지</t>
  </si>
  <si>
    <t>대형우량주</t>
  </si>
  <si>
    <t>사업 다각화로 이익이 감소할 가능성이 있는지</t>
  </si>
  <si>
    <t>회사의 장기 성장율을 확인하고 최근 몇년동안 동일한 탄력을 유지하고 있는지</t>
  </si>
  <si>
    <t>이 주식으 영원히 보유하려면 이전 침체기와 폭랑장때 실적이 어땠는지 확인.</t>
  </si>
  <si>
    <t>경기 순환주</t>
  </si>
  <si>
    <t>재고를 계쏙 자세히 지켜보고 수요 공급 관계또 살펴봐라</t>
  </si>
  <si>
    <t>새로진입하는 기업이 있는지 그렇다면 위험하다</t>
  </si>
  <si>
    <t>경기가 회복되면 점차 per가 내려간다고 생각해라. 경기가 막바지에 이렀다고 내다볼때 회사의 이익이 최대치에 이른다.</t>
  </si>
  <si>
    <t>고성장주</t>
  </si>
  <si>
    <t>유망 제품이 그 회사의 사업에서 차지하는 비중이 높은지 확인하라.</t>
  </si>
  <si>
    <t>최근 몇년동안 이익 성장율이 얼마인가 20~25퍼의 성장율은 좋지만 그 이상은 경계한다. 장기적일 수 없는 성장일 확율이 높기 때문</t>
  </si>
  <si>
    <t>회사가 확장능력을 입증하려면 2개 도시 이상에서 성공 공식을 복제해서 운영에 성공해야 한다.</t>
  </si>
  <si>
    <t>회사가 성장할 여지가 남아 있어야 한다.</t>
  </si>
  <si>
    <t>PER이 성장율과 비슷한 수준인가?</t>
  </si>
  <si>
    <t>확장 속도가 빨라지고 있는가? 계속 구입해야 하는 것과 한번 구입하고 끝나는 단발성 거래는 다름.단발성 거래는 이익을 증가시키려면 해마다 새로운 시스템을 더 많이 판매해야 함.</t>
  </si>
  <si>
    <t xml:space="preserve">주식을 보유한 기관투자자가 소수이고 조사하는 애널리스트도 적은가? </t>
  </si>
  <si>
    <t>회생주</t>
  </si>
  <si>
    <t>채권자들이 작므을 회수해도 회사가 생존할 수 있는지가 가장 중요함.</t>
  </si>
  <si>
    <t>회사가 보유한 현금이 얼마인가 부채는 얼마인가.</t>
  </si>
  <si>
    <t>부채구조는 어떠한가 문제를 해겨하는 동안 얼마나 적자 영업을 버틸 수 있나?</t>
  </si>
  <si>
    <t>회사가 어떤 방법으로 회생할 계획인가? 회사의 이익을 갉아먹는 것을 쳐낸다면(출혈이 있더라도) 주가는 오를것임.</t>
  </si>
  <si>
    <t>사업이 회복되는가?</t>
  </si>
  <si>
    <t>원가가 절감되는가? 그 효과는 어떤가</t>
  </si>
  <si>
    <t>자산주</t>
  </si>
  <si>
    <t>자산의 가치는 얼마인가</t>
  </si>
  <si>
    <t>숨은 자산은 있는가</t>
  </si>
  <si>
    <t>자산에서 차감해야하는 부채가 얼마인가</t>
  </si>
  <si>
    <t>회사가 새로 부채를 일으켜 자산의 가치를 떨어뜨리는가</t>
  </si>
  <si>
    <t>주주들이 자산에서 이익을 얻도록 도와주는 기업 사냥꾼이 대기하고 있는가?</t>
  </si>
  <si>
    <t>요약</t>
  </si>
  <si>
    <t>투자하는 주식의 속성과 구체적인 투자이유를 파악</t>
  </si>
  <si>
    <t>투자하는 주식의 유형을 분류하면 무엇을 기대하는지 알 수 있음.</t>
  </si>
  <si>
    <t>대기업은 주가 움직임이 작고 소기업은 주가 움직임이 크다.</t>
  </si>
  <si>
    <t>특정 제품에서 이익을 기대한다면 회사의 규모를 고려해라</t>
  </si>
  <si>
    <t>이미 이익을 내는 중이면서 사업 개념의 복제 능력을 입증한 소기업을 찾아라</t>
  </si>
  <si>
    <t>연 성장율이 50~60퍼인 기업은 경계해라.. 아마도 주가가 많이 올랐을 것이고 성장율이 떨어지면 고꾸라질것임</t>
  </si>
  <si>
    <t>인기 업종의 인기 종목을 피해라</t>
  </si>
  <si>
    <t>사업 다각화를 믿지 마라 대개 사업 다악화로 이어진다 ㅋㅋ</t>
  </si>
  <si>
    <t>무모한 도박은 결코 보상을 받지 못하는 법</t>
  </si>
  <si>
    <t>첫번째 상승국면을 놓치더라도 회서의 계획이 효과가 있는지 지켜보는 편이 낫다</t>
  </si>
  <si>
    <t>비성장 업종에서 적당한(20~25%)정도로 성장하는 회사가 이상적인 투자대상.</t>
  </si>
  <si>
    <t>틈새를 확보한 회사를 찾아라</t>
  </si>
  <si>
    <t>곤경에 빠진 회사의 경우 재무상태가 건전한 회사를 거르고 은행 부채가 많은 회사는 걸러라</t>
  </si>
  <si>
    <t>부채가 없는 회사는 망하지 않는다.</t>
  </si>
  <si>
    <t>경영능력이 중요할지 모르지만 파악하기 힘들다. 회사의 전망을 보고 주식을 매수해라</t>
  </si>
  <si>
    <t>곤경에 빠진 회사가 회생하면 많은 돈을 벌 수 있다.</t>
  </si>
  <si>
    <t>PER을 세심하게 분석해라 주가가 지나치게 고평가되어 있따면 만사가 잘풀려나가도 돈을 못벌수도 있다.</t>
  </si>
  <si>
    <t>회사의 스토리를 바탕으로 회사의 발전을 점검해라</t>
  </si>
  <si>
    <t>계쏙해서 자사주를 매입하는 회사를 찾아라</t>
  </si>
  <si>
    <t>과거의 배당 실적을 조사하고 과거 침체기에 이익이 어땟는지 확인해라</t>
  </si>
  <si>
    <t>기관투자자의 보유량이 적거나 없는 회사를 찾아라</t>
  </si>
  <si>
    <t>다른 조건이 같다면 월급만 받는 운영진 보다 지분을 많이 보유한 경영진이 낫다.</t>
  </si>
  <si>
    <t>내부자가 주식을 매입한다면 좋은 신호다. 특히 여러 개인이 동시에 매입한경우는 더 좋은 신호다.</t>
  </si>
  <si>
    <t>주식 연구에 매주 시간을 투자해라... 자신의 배당과 투자손익은 계싼해봐야 연구에 도움되지 않는다.</t>
  </si>
  <si>
    <t>인내심을 가져라. 서두른다고 주식 안오른다.</t>
  </si>
  <si>
    <t>의심스러우면 투자를 연기해라</t>
  </si>
  <si>
    <t>새 종목을 고를때는 적어도 냉장고를 고르는 만큼 시간과 노력을 들여라</t>
  </si>
  <si>
    <t xml:space="preserve">장기적인 관점 </t>
  </si>
  <si>
    <t>포트폴리오 설계</t>
  </si>
  <si>
    <t>장기적인 이익 극대화는 시장이 좋을때나 나쁠때나 전략을 고수하는 경우에만 가능하다.</t>
  </si>
  <si>
    <t>연복리 12~15% 수익을 목표로 해야한다.</t>
  </si>
  <si>
    <t>주식을 계속 보유한 사람은 자주 거래하는 사람보다 실적인 횔씬 높게 나온다. 소액 투자자는 거래에 비용이 많이 든다. 소액 투자자가 포트폴리오를 1회 회전한다면 그는 4%를 수수료로 잃는 것이다. 거래를 많이 할수록 인덱스 펀드를 앞서가기 힘들어진다.</t>
  </si>
  <si>
    <t>적절한 종목수는 몇개인가?</t>
  </si>
  <si>
    <t>그렇다고 1종목에 몰빵하는 것은 안전하지 않다. 최선의 놁을 기울였따고해서 선택한 종목이 예기치 못한 상황에 희생될수도 있기 때문.</t>
  </si>
  <si>
    <t xml:space="preserve">  종목수에 얽매이지 말고 강점이 있는 종목을 모두 보유하는것이 최선. 분산 투자를 위해 알지도 못하는 회사에 나누어 투자해봐야 아무 소용이 없다.</t>
  </si>
  <si>
    <t>소규모 포트폴리오라면 3~10개 정도 보유하면 마음이 편하다. 여기엔 이점이 있음.</t>
  </si>
  <si>
    <t>10루타 종목을 찾는다면 보유종목이 많을수록 그안에서 10루타 종목이 나올 가능성도 커짐. 유망한 속성을 지닌 여러 고성장주 가운데 실제로 가장 많이 오르는 주식은 뜻밖의 종목일지도 모름.</t>
  </si>
  <si>
    <t>뜻밖의 호재가 어느 종목에서 터질지 예상할수 없음으로 보유종목을 늘린다면 호재를 잡을 가능성이 높음.</t>
  </si>
  <si>
    <t>보유종목이 늘어날수록 종목별 자금 배분에 유연성이 높아진다. 종목이 다양해짐으로 모든 종목유형, 산업 등에 대해 기회를 바라보고 있음으로 기회가 많은 곳을 포착해서 그곳에 자금 배분을 하기 좋아짐.</t>
  </si>
  <si>
    <t>자금을 골고루 배분해라</t>
  </si>
  <si>
    <t>저성장주는 저위험 저수익종목. 대형우량주는 저위험 중수익 종목. 자산주는 자산의 가치를 확신한다면 저위험 고수익 종목이 됨. 경기순환주는 경기순환을 예측하는 실력에따라 저위험 고수익, 고위험 저수익이 갈림.</t>
  </si>
  <si>
    <t>10루타 주식은 고위험 고수익 주식 유형인 고성장주나 회생주에서 많이 나온다. 상승 잠재력이 높을수록 하락 잠재력도 높음.</t>
  </si>
  <si>
    <t>대형우량주를 몇개 포함하면 고성장주 네종목과 회생주 네 종목에서 오는 스릴고 ㅏ오싹함을 왕화할 수 있음.</t>
  </si>
  <si>
    <t>하지만 핵심은 종목을 제대로 알고 매수하는것. 고평가된 우량주를 편입해서 오히려 위험을 높혀서는 안된다...</t>
  </si>
  <si>
    <t>투자한 회사가 엄청난 성공을 거두었는데도 너무 비싼 가격에 매수했기 때문에 한푼도 벌지 못한다면 이는 정말로 비극...</t>
  </si>
  <si>
    <t>포트폴리오 관리차원에서 매도</t>
  </si>
  <si>
    <t>주식이 가진 스토리를 점검하며 상황변화에 따라 종목을 추가하거나 제외함. 즉, 주식을 팔아 현금을 ㅗ보유하지 않음. 현금화란 시장에서 빠져나가는 것.기본 상황에 따라 종목을 교체하면서 영원히 머물러야 함. 주식 시장에 계속 묻어두기만 한다면 시기를 놓친 매매의 고통을 많이 덜어낼 수 있음.</t>
  </si>
  <si>
    <t>오르는 주식을 팔고 내리는 주식을 보유하는 것은 꽃을 뽑아내고 잡초에 물을 주는것처럼 분별없는 행동이다. 기계적으로 내리는 주식을 팔고 오르는 주식을 보유하는 것도 마찬가지.</t>
  </si>
  <si>
    <t>현재의 주가는 회사으 ㅣ전망을 전혀 알려주지 못하고 회사의 기본과 반대방향으로 움직인다.</t>
  </si>
  <si>
    <t>회사의 스토리와 비교한 주가 움직임에 따라 주식을 매수하거나 매도해라.</t>
  </si>
  <si>
    <t>예를들어 대형 우량주가 기대한 최소수익율을 달성했는데 이 회사에 특별한 일이 발생하지 않아서 기대할 재료가 없다면 이주식을 팔고 아직 오르지 않은 매력적인 대형 우량주를 매수하는식. 이런 상황에서 주식을 모두 팔기 싫다면 일부만 팔아도 됨.</t>
  </si>
  <si>
    <t>대형 우량주를 몇번 성공적으로 교체 매매 하면 대박종목만큼 올릴 수 있음 30%수익을 6번 반복하면 4배 이상의 수익에 육박함</t>
  </si>
  <si>
    <t>고성장주라면 이익이 계쏙 증가하고 확장이 이어지며 장애가 나타나지 않는 한 계속 보유함.</t>
  </si>
  <si>
    <t>몇달간격으로 처음 듣는 사람인 것 처럼 회사의 스토리를 점검해야 함.  주가가 50퍼 상승 했지만 스토리가 수상해지는 기업과 주가는 떨어지거나 보합이지만 스토리가 나아지고 있다면 상승한 고성장주를 팔고 두번째 고성장주를 추가하는 식.</t>
  </si>
  <si>
    <t>경기순환주나 회생주도 마찬가지로 운영</t>
  </si>
  <si>
    <t>좋은 주식이 가격이 내렸다면 이는 그 가격에 주식을 판 사람에게만 비극이 됨... 주가하락은 유망하지만 실적이 부진한 종목들을 싸게 모을 기회임.</t>
  </si>
  <si>
    <t>25% 떨어지면 팔아야겠다는 치명적인 생각을 버리고 25%손해보면 사겠다는 확신을 하지 못한다면 큰 돈을 절대 벌 수 없음. 그래서 손절매 주문을 증오함. 손절매 가격은 반드시 건드리게 되있음.손절매는 절대로 돈을 벌 수 없음</t>
  </si>
  <si>
    <t>반대로 주가 상승에 대해 인위적인 목표가를 설정할 방법도 없음. 두배가 되면 팔아라 라는 말을 믿는다면 대박종목은 영원히 기회를 얻을 수 없음.</t>
  </si>
  <si>
    <t>원래의 스토리가 유의미한 의미를 유지하는 한 기다리면서 상황을 지켜봐야한다.</t>
  </si>
  <si>
    <t>매매의 최적 시점</t>
  </si>
  <si>
    <t>주식을 매매하는 시점은 좋은 주식이 좋은 가격에 나왔을 때 뿐. 하지만 주식을 엄청나게 싸게 살 수 있는 기간이 있음.</t>
  </si>
  <si>
    <t>연말 절세 매도 기간. 절세를 위해서 떨어진 종목을 팔음. 기관투자자도 평가에 대비해서 손실 본 종목을 팔아 포트폴리오를 정리함. 이떄 저가 종목이 더 내려감. 매도가 매도를 불러서 좋은 종목도 터무니 없는 수준으로 내려갈때가 있음 10~12월</t>
  </si>
  <si>
    <t>두번째는 몇년마다 주식시장에서 발생하는 붕괴 폭락 거품 붕괴 일시적 하락 대폭락 기간. 매도하려는 본능을 억누르고 용기를 발휘해서 이 무서운 상황에서 주식을 매수해야 함. 전문가들은 바쁘거나 제약이 많아 폭락장에서 신속하게 대응하지 못함. 폭락 이후 이익 성장이 건실한 기업을 싸게 살 수 있음.</t>
  </si>
  <si>
    <t>이익 성장이 건실한 기업이야 말로 신속하게 회복함.</t>
  </si>
  <si>
    <t>매도 시점</t>
  </si>
  <si>
    <t>주가가 내려간 다음 주식을 믿고 기다리는 것 보다 주가가 오른 다음에 계쏙 붙들고 있기가 더 힘듬. 처음에 주식을 매수한 이유를 계속 떠올리며 스토리가 계속 되는 한 보유해야 함.</t>
  </si>
  <si>
    <t>그 어떤 고평가니 뭐니 내부자가 매도 했니 이익을 실현하라니 그런 말들은 전혀 도움이 되지 않는다.</t>
  </si>
  <si>
    <t>북소리</t>
  </si>
  <si>
    <t>ㅋㅋ.. 주위에 들리는 모든 북소리들을 무시해라. 이해하지도 못하는 연준이니 통화공급이니 뭐니... 달러 강세도 나쁘고 달러 약세도 나쁘고 북소리는 그냥 가진 주식을 파는 것 밖에 안됨.</t>
  </si>
  <si>
    <t>진정한 매도 시점은?</t>
  </si>
  <si>
    <t>주식을 매수한 이유를 안다면 자연스럽게 작별해야 할 시간도 알 수 있음.</t>
  </si>
  <si>
    <t>저성자주 매도시점</t>
  </si>
  <si>
    <t>30~50퍼 상승하면 팜. 저성장인데 이렇게 주식 가격이 오를 수 없기 때문...</t>
  </si>
  <si>
    <t>주시깅 하락했더라도 기본이 악화하면 매도.</t>
  </si>
  <si>
    <t>회사의 점유율이 하락하거나 광고대행사 같이 뭔가를 더 해야 한다면</t>
  </si>
  <si>
    <t>신제품 개발하지 않고 연구 개발비도 삭감하는 등 더이상의 노력이 안보이는 경우</t>
  </si>
  <si>
    <t>사업다각화로 첨단분야의 기업을 인수하는 경우</t>
  </si>
  <si>
    <t>회사가 인수에 지나친 비용을 지출해서 거액의 부채를 지는 상태로 악하나는경우</t>
  </si>
  <si>
    <t>주가가 하락하는데도 자사주를 매입할 잉여 자금이 업슨ㄴ 경우</t>
  </si>
  <si>
    <t>주가가 내려가도 배당수익율이 투자자들의 관심을 끌 만큼 높지 않은 경우</t>
  </si>
  <si>
    <t>대형우량주 매도시점</t>
  </si>
  <si>
    <t>대형 우량주는 빈번하게 다른 대형주로 교체매매함.</t>
  </si>
  <si>
    <t>주가가 이익 곡선 위로 올라가거나 PER이 비정상적으로 올라가는경우</t>
  </si>
  <si>
    <t>최근 2년동안의 도입된 제품들의 실적이 안좋고 아직 시험단계에 있는 다른 제품을 출시하려면 1년을 기다려야 하는 경우</t>
  </si>
  <si>
    <t>같은 업종의 PER이 10인데 이 회사는 15인 경우</t>
  </si>
  <si>
    <t>작년에 주식을 매수한 임원이나 관리자가 한명도 없는 경우</t>
  </si>
  <si>
    <t>회사 이익의 25%를 차지하는 주요 사업부가 현재 진행 중인 경제 침체에 취약한 경우</t>
  </si>
  <si>
    <t>회사의 성장율이 하락하고 있고 지금은 원가절감으로 이익을 유지하고있지만 앞으로 원가 절감하기 더 힘든경우</t>
  </si>
  <si>
    <t>경기순환주 매도시점</t>
  </si>
  <si>
    <t>최적 시점은 경기상승 순환이 끝나기 전이지만 그 시점을 알수가 없음.</t>
  </si>
  <si>
    <t>경기순환을 멀리 내다보는 투자자가 사람들이 매도하기 전에 일찌감치 팔때도 있음..</t>
  </si>
  <si>
    <t>그래서 경기 순환의 끝이 아니라면 매도의 최적 시점은 실제로 어떤 일이 잘못되기 시작했을 때임. 원가가 상승하거나 등.</t>
  </si>
  <si>
    <t>재고를 처분하지 못할 때 사실 이때도 좀 늦을수도 있음.</t>
  </si>
  <si>
    <t>상품가격 하락도 매도 시점의 전조 석유와 철강등의 가격은 이익에 문제가 드러나기 몇달전에 하락함...</t>
  </si>
  <si>
    <t>기업간의 경쟁또한 경기순환주에 악신호. 새로운 기업들은 고객 확보를 위해서 가격을 인하하고 이 때문에 다른 기업들도 가격을 내리기 때문에. 광물같은거 파는 기업들.</t>
  </si>
  <si>
    <t>수요가 감소하는 경우</t>
  </si>
  <si>
    <t>공장을 저 비용으로 현대화 하는 대신 새 공장을 짓기 위해서 지출 예산을 두배로 늘리는경우... 과도한 생산은 곧 가격의 하락. 순환의 막바지...</t>
  </si>
  <si>
    <t>원가절감 했지만 해외 기업에 경쟁할 수 없는 경우</t>
  </si>
  <si>
    <t>고성장주 매도시점</t>
  </si>
  <si>
    <t>고성장주의 핵심은 잠재적 10루타 종목을 놓치지 않는 것임.</t>
  </si>
  <si>
    <t>핵심요소는 고속성장의 두번째 단계가 언제 끝나는것인지 알아야 함.</t>
  </si>
  <si>
    <t>신규매장 설립을 중단하거나. 초라해?보인다거나 그런 쇠락 요소들,, 여기에 주식을 여기저기서 추천하고 기관들이 많이 들고 있으며 좋다고 기사가 나는 경우 확실하게 매도할 타이밍... 팔아넘기기 위해서 하니깐.</t>
  </si>
  <si>
    <t>어디든 해당 제품이 보이는 경우... 이제 어디로 확장해야 하는가? 팔아야 한다..</t>
  </si>
  <si>
    <t>지난 분기 매ㅜㄹ이 감소하는 경우</t>
  </si>
  <si>
    <t>신규 매장 실적이 실망스러운경우</t>
  </si>
  <si>
    <t>고위 임원 및 핵심 직원이 경쟁회사로 옮기는 경우</t>
  </si>
  <si>
    <t>기관투자자들이 과장되 스토리로 쇼하는경우</t>
  </si>
  <si>
    <t>다음 몇년의 이익성장율에 대해 낙관적인 예측이 15~20%인데도 PER 30배에 거래되는 경우</t>
  </si>
  <si>
    <t>회생주 매도시점</t>
  </si>
  <si>
    <t>회생한 다음.. 과거 와해하기 이전 시점을 되찾은 경우, 다시 이 주식을 보유해도 이상하지 않은 경우.</t>
  </si>
  <si>
    <t>정상으로 돌아온다면 회생주로 평가하는 것이 아니고 정상적인 기업으로 다시 평가해야 함.</t>
  </si>
  <si>
    <t>다섯분기 연속으로 감소했던 부채가 지난 분기 보고서에는 증가로 나오느 ㄴ경우</t>
  </si>
  <si>
    <t>이익 전망에 비해 PER이 부풀려져 있는 경우</t>
  </si>
  <si>
    <t>자산주 매도시점</t>
  </si>
  <si>
    <t>자산 가치가 줄어들지 않는 한 자산주느 계속 보유해야 함</t>
  </si>
  <si>
    <t>평소에는 몇년이나 기다려도 주식이 움직이지 않는데 기업사냥꾼 같은 인지도 있는 단체가 움직이면 주가가 오름.</t>
  </si>
  <si>
    <t xml:space="preserve">기대했던 자산 가치에 못미치게 팔리는 경우. </t>
  </si>
  <si>
    <t>가장 어리석고 위험한 생각들</t>
  </si>
  <si>
    <t>내릴만큼 내려서 이제 더 안내려</t>
  </si>
  <si>
    <t>우량기업은 반드시 회복되는 법이야.. 인내심을 발휘해야한다 이런 생각은 위험하다. 기업의 스토리가 박살난 경우 1/10도 흔함.</t>
  </si>
  <si>
    <t xml:space="preserve">심지어 회사 자산이 주당 30$인데도 4$까지 떨어지는경우도 있음. 아무이유 없이.... </t>
  </si>
  <si>
    <t>바닥에 잡을 수 있다</t>
  </si>
  <si>
    <t xml:space="preserve">떨어지는 칼날을 잡으려다 보면 필연적으로 칼날을 잡게 된다.. 그 고통은 엄청날것 </t>
  </si>
  <si>
    <t>주가가 많이 내려갔다는 이유로 매수하기 보다는 사업이 살아나는 모습이 실감되어야 하고 재푸상태표를 확인했을때 개선이 된다는 식. 그래도 주식을 바닥에서 살 수는 없다.</t>
  </si>
  <si>
    <t>대개 주가가 등락을 거듭한 뒤에야 다시 상승한다. 이를 2년 3년걸리는데 더 걸리는 경우도 많다.</t>
  </si>
  <si>
    <t>오를만큼 올랐으니 더는 못올라.</t>
  </si>
  <si>
    <t>인위적으로 주식 상승의 한계점을 설정할 수 없다. 스토리가 타당하고 이익이 계속 개선되며 회사의 기본이 바뀌지 않는다면 더는 못오를 거라는 속설 때문에 주식을 팔아서는 안된다.</t>
  </si>
  <si>
    <t>어떤 주식이 10배로 뛸지 어떤 주식이 5배로 뛸지 전혀 예측할 수 없다. 스토리가 유지되는 한 대박을 기대하면서 소유해야 함.</t>
  </si>
  <si>
    <t>헐값인데 얼마나 손해보겠어?</t>
  </si>
  <si>
    <t>50달러에 샀든 1달라에 샀던 50센트가 되면 99퍼 날린거나 83퍼날린거나 그냥 그게 그거다...</t>
  </si>
  <si>
    <t>요점은 주가가 내리면 개떡같은 저가주도 개떡같은 고가주 만큼이나 위험하다는 뜻. 결구 휴지가 되면 둘다 돈을 다 잃는거임.</t>
  </si>
  <si>
    <t>공매도전문가는 천장보다는 바닥에서 많이함. 60달러나 6달러나 전혀 신경쓰지 않음. 주식이 휴지가 되면 그냥 돈 버는건 똑같기 때문.</t>
  </si>
  <si>
    <t>결국 반드시 돌아온다.</t>
  </si>
  <si>
    <t>플로피디스크 디지털시계 이동주택.. 과 같이 망한 스토리는 돌아오지 못한다.</t>
  </si>
  <si>
    <t>동트기전이 가장 어둡다</t>
  </si>
  <si>
    <t xml:space="preserve">상황이 조금 나빠지면 더 나빠지지 않을거라 생각하려 한다. </t>
  </si>
  <si>
    <t xml:space="preserve">17년만의 최저치여서 더는 악화할 수 없다고 생각할지 모르지만 그보다 더 안좋은 경우가 허다하다.  </t>
  </si>
  <si>
    <t>동트기 전이 가장 어둡다는건 칠흑 직전도 어둡다는 것..</t>
  </si>
  <si>
    <t>10달러 까지 반등하면 팔아야지</t>
  </si>
  <si>
    <t>한번 짓밟힌 주식은 우리가 오르면 팔겠다고 정한 수준까지 회복되는 법이 없음.</t>
  </si>
  <si>
    <t>더 살 만큼 확신이 서지 않는다면 그 주식은 즉시 팔아야 한다고 스스로 일깨움</t>
  </si>
  <si>
    <t>걱정없어 보수적인 주식은 안정적이야</t>
  </si>
  <si>
    <t>기업은 역동적이며 전망은 변화한다. 보유하면서 신경을 꺼도 되는 주식은 없다.</t>
  </si>
  <si>
    <t>얼마나 더 기다려야 하나?</t>
  </si>
  <si>
    <t>멋진 사건을 기다리다 지쳐 파는 순간 다음 날 부터 기다리던 사건이 진행됨...</t>
  </si>
  <si>
    <t>심지어 이익이 증가하는데도 10년동안 주가가 오르지 않을수도 있음.</t>
  </si>
  <si>
    <t>버는 돈은 대부분 투자한지 3~4년 째 되는 주식에서 나옴. 특정 종목만 더 걸림</t>
  </si>
  <si>
    <t>회사에 아무 문제가 없고 나를 처음 매료시켰던 스토리가 변하지 안흔ㄴ다면 조만간 인내심에 보답받는다고 확신해야 함</t>
  </si>
  <si>
    <t>이익이 꾸준히 증가한다는 것은 게속 보유하라는 신호와 같다.</t>
  </si>
  <si>
    <t>심전도 처럼 몇년간 꼼짝하지 않는 주식은 사실 좋은 신호임. 이 종목이 크게 상승할거라는 강력한 암시를 받음.</t>
  </si>
  <si>
    <t>사지 않아서 엄청 손해봤다</t>
  </si>
  <si>
    <t>다른 사람의 이득에 대해 손해봤다고 생각하느 사고방식의 결말은 손해를 만회하려고 사지 말아야하는 주식을 사게된다는 점임. 실제로는 한푼도 손해보지 않았는데도. 이런 행동의 결과는 사람들을 손실로 이끔</t>
  </si>
  <si>
    <t>꿩대신 닭이라도 잡아라</t>
  </si>
  <si>
    <t>제 2의 아무개는 전혀 효과가 없다....</t>
  </si>
  <si>
    <t>당연하게도 제1의 기업을 따라갈수가 없기 때문에 뒤쳐짐.</t>
  </si>
  <si>
    <t>원래의 우량기업을 조금 비싸게 사는것이 제 2의 아무개를 사는것 보다 나음</t>
  </si>
  <si>
    <t>주가가 올랐으니 내가맞았고 주가가 내렸으니 낵 ㅏ틀렸다.</t>
  </si>
  <si>
    <t>주가가 오르면 자기가 투자를 잘했다고 믿는 사고방식 주가가 내려가면 투자를 잘못했다고 믿는다면 오른 종목은 보유하고 내린 종목은 매도하게 됨.</t>
  </si>
  <si>
    <t>주식을 산 다음 주가가 오르내리는 것은 똑같은 제품에 더 높은 가격을 지불하려는 사람도 있고 더 낮은 가격을 지불하려는 살마도 있다는 뜻밖에 없음.</t>
  </si>
  <si>
    <t>3부요약</t>
  </si>
  <si>
    <t>내일 3달뒤 3년뒤 어느날 시장이 가파르게 하락할 것이다.</t>
  </si>
  <si>
    <t>시장 하락은 우리가 좋아하는 주식을 살 훌륭한 기회이다. 조정이 일어나면 탁월한 기업들도 헐값이 된다.</t>
  </si>
  <si>
    <t>1,2년 후 시장의 방향을 예측하는것은 불가능하다.</t>
  </si>
  <si>
    <t>대박 종목은 항상 뜻밖의 종목 가운데서 나왔다. 큰 실적이 나오려면 몇달이 아니라 몇년이 걸린다.</t>
  </si>
  <si>
    <t>유형이 다른 주식은 위험과 보상도 다르다</t>
  </si>
  <si>
    <t>대형우량주에 투자해서 20~30퍼 수익을 몇차례 누적하는 방법으로도 큰 돈을 벌 수 있다.</t>
  </si>
  <si>
    <t>주가는 종종 기본과 반대 방향으로 움직이지만 장기적으로는 이익의 방향과 지속성을 따라간다.</t>
  </si>
  <si>
    <t>현재 부진한 기업은 실적이 더 나빠질수도 있다.</t>
  </si>
  <si>
    <t>주가가 올라간다고 우리의 판단이 옳다고 생각해서도 안되고 내려간다해서 판단이 틀렸다고 생각해서도 안된다.</t>
  </si>
  <si>
    <t>대형우량주의 기관투자자 비중이 높고 많은 조사와 시장보다 주가가 올랐고 주가가 고평가되었따면 주가는 횡보하거나 하락한다.</t>
  </si>
  <si>
    <t>회사의 전망이 신통치 않은데도 주가가 싸다해서 매수한다면 이는 돈을 잃는 방법이다.</t>
  </si>
  <si>
    <t>탁월한 고성장주를 단지 고평가된 것 같다고 매도한다면 이도 돈을 잃는 방법이다.</t>
  </si>
  <si>
    <t>기업이 성장하는데는 이유가 있으며 고성장주가 영원히 성장하는 것도 아니다.</t>
  </si>
  <si>
    <t>10루타 종목일지라도 그 종목을 보유하지 않안다고 우리고 돈을 잃은 것은 아니다.</t>
  </si>
  <si>
    <t>주식이 상승한다고 충족감에 젖어서 스토리 점검을 중단하면 안된다.</t>
  </si>
  <si>
    <t>주식이 휴지가 된다면 어떤 가격에 매수했던지 잃는 금액은 동일하다.. 투자 금액 전부가 날아간다.</t>
  </si>
  <si>
    <t>기본에 바탕을 두고 조심스럽게 가지치기와 교체매매를 하면 실적을 개선할 수 있다. 주식이 실제 가치에 벗어났고 더 좋은 대안이 있다면 주식을 팔고 다른 종목으로 교체하라</t>
  </si>
  <si>
    <t>유리한 카드가 나타난다면 판돈을 올리고 불리한 카드가 나타난다면 판돈을 줄여라</t>
  </si>
  <si>
    <t>꽃을 뽑아내고 잡초에 물을 줘서는 실적을 개선할 수 없다.</t>
  </si>
  <si>
    <t>시장을 이길 수 없다고 생각되면 펀드에 투자해서 시간과 돈을 절략해라</t>
  </si>
  <si>
    <t>걱정할 일은 항상 생기는 법이다.</t>
  </si>
  <si>
    <t>새로운 아이디어에 항상 마음을 열어놓아라</t>
  </si>
  <si>
    <t>모든 10루타 종목을 보유할 필요는 없다. 10루타 종목 몇개을 놓쳤지만 시장을 이기는데는 지장이 없다.</t>
  </si>
  <si>
    <t>100배 주식 불변의 법칙</t>
  </si>
  <si>
    <t>제대로 된 것을 사서 평생보유</t>
  </si>
  <si>
    <t>가장 큰 수익이 났떠라도 기업의 실적이 계쏙 성장하면 팔지 않는다</t>
  </si>
  <si>
    <t>실수를 인정하고 바로잡을 수 있을</t>
  </si>
  <si>
    <t>복리. 10배 성장 한 이후에 5%씩 장기 성장을 먹자</t>
  </si>
  <si>
    <t>고점에서 가장 매력적으로 보이고 저점에서 가장나쁘게 보인다..</t>
  </si>
  <si>
    <t>상대 주가 계싼 : 기업 변동 - 지수 변동. 같으면 동일하게 성장 높으면 기업이 더 많이 상승 낮으면 지수가 더 아웃퍼폼함. 이런거 그래프 만들면 지수보다 이 주식이 어떻게 평가받는지 알 수있을듯.</t>
  </si>
  <si>
    <t>5년이나 10년 전에 투자했었으명 옳았을곳에 지금 투자하고 싶은 유혹은 참기 힘들다.</t>
  </si>
  <si>
    <t>주식을 좀 사놔야지 떨어져도 물을 타지 포지션이 없으니깐 떨어졌을때 더 사기 힘든듯.</t>
  </si>
  <si>
    <t>정말 매력적인 주식이라고 생각된다면 시장가로 매수해야한다. 그 후 주가가 떨어진다면 더 매수하는 것이 좋다. 50배를 벌든 100배를 벌던 중요하지 않다. 기회를 잃는것이 문제</t>
  </si>
  <si>
    <t xml:space="preserve">20%씩 n년씩 성장했을 때 얼마일지 계산을 해봤으면.. 현재 주가가 어느정도 프리미엄을 받고 있었는지 알 수 있었을듯 </t>
  </si>
  <si>
    <t>최소한의 시간으로 많은 돈을 벌기 위해서는 좋은 주식을 아무도 좋아하지 않을때 사야한다..ROIC PER에 의존했다면 사지 않았을 것. 큰 돈을 벌기 위해서는 기회를 보는 안목 어떠한 불확실성을 견뎌 낼 수 있는 인내심.</t>
  </si>
  <si>
    <t>기업이 n%씩 m년 성장한다 가정 했는 주가가 거의 타겟 주가인데 이렇게 산출된 주가가 타겟 판매 주가가 될 수 있을지도. 너무 빨리 올라갔다면, 그 이후에도 성장을 계속 할 주식이라면 보유해도 상관 없겠지만</t>
  </si>
  <si>
    <t>물 밑에서 움직임..? n년 동안 거래량이 얼마나 이뤄 졌나?</t>
  </si>
  <si>
    <t>내가 좋다고 생각 한 부분이 이미 가격에 포함된것은 아닌지 그러면 살 이유가 없잖아?</t>
  </si>
  <si>
    <t>투기꾼의 관심이 적으면서 장기성과가 좋은 종목.</t>
  </si>
  <si>
    <t>PER이 20이면 대체 연평균 얼마나 성장한다는건지? -&gt; 연평균 20%씩 성장한다는 의미</t>
  </si>
  <si>
    <t>세상의 비관론이 과연 합당한가? 시장의 합의가 만약 거짓이라면 그곳에서 수익이 나온다.</t>
  </si>
  <si>
    <t>100 배오를 주식들</t>
  </si>
  <si>
    <t>과거는 누구나 안다. 돈을 벌고 싶다면 현재 지불하는 가격보다 미래에 가치가 상승할 자산을 사야한다. 과거 실적이 미래에 반복되는 주식을 사서는 자본 이득을 보기 힘들다</t>
  </si>
  <si>
    <t>시장 평균을 상회하는 수익율을 달성하는 유일한 방법은 아직 널리 알려지지 않은 가치주를 사는것.</t>
  </si>
  <si>
    <t>성장이 지속되고 기대도 유지된다면 시간은 매수자의 편. PER이 일정하게 유지된다는 것은 기업의 가격이 이익이 성장하는 속도에 비례해서 해마다 상승하는것</t>
  </si>
  <si>
    <t>성장주는 지금까지와 같거나 더 빠른 속도로 성장하는경우, 성장세를 유지하거나 더 빠르게 성장할 것이라는 매수자의 기대가 계속되고, 미래 이익과 배당금의 현재 가치를 평가하는데 적용되는 할인율이 크게 증가하지 않는</t>
  </si>
  <si>
    <t>성장에는 한계가 있다. 20%씩 10년간 오른다는건 기업의 규모가 6배 상승하는 것. 규모가 커지면 그이상의 확장이나 성장은 저항이 크다</t>
  </si>
  <si>
    <t>높은 프리미엄은 6~8년 뒤에 직므보다도 3~4배 더 커졌을 때의 회사의 경쟁력으로 평가해야 함.</t>
  </si>
  <si>
    <t xml:space="preserve">자신에게 확율이 유리하다는 것을 어떻게 판단하나?, 시장의 일반적인 기대 보다 전망이 훨씬 긍정적인경우, 모두가 명백히 인식하는 것만큼 부정적 전망이 심각하지 않은경우 </t>
  </si>
  <si>
    <t>현재 가격은 모든 정보가 반영된 것, 현 상태에서 미래에 10배 성장할 요소가 뭐가 있을지? 생각해봐야?  즉 현재 생각 하는 가정까지 지금 주가에 반영 된 것임.</t>
  </si>
  <si>
    <t>지금 반영 돼 있지 않은 가정이 있고 그 가정으로 기업이 돈을 얼마나 벌지가 주식 수익율로 바뀌는거라고</t>
  </si>
  <si>
    <t>PER 중에 Eearning을 연구비나 설비 생산에 많은 투자를 하고 있는지? 그래서 PER이 높은건지? 그런 분석</t>
  </si>
  <si>
    <t>PER에도 질이 있다. 연구를 하는지, 좋은 직원에게 투자를 하는지, 질적으로 PER이 좋은건지 세부적인 확인이 필요하다.</t>
  </si>
  <si>
    <t>가격에 집중하지말고 들어나지 않은 가치에 집중해라. 가치가 들어나면 가격은 따라올테니</t>
  </si>
  <si>
    <t>잘못된 시기에 사서 잘못된 시기에 팔지 마라. 남들이 팔고싶어 할때 사고 사고싶어 할때 팔아야한다</t>
  </si>
  <si>
    <t>내 투자가 성공할지 궁금하다면 내가 투자한 회사와 같은 일을하는 회사는 얼마나 되고. 수요는 얼마나 되는가 얼마나 많은 사람들이 내가 투자한 회사들의 상품과 서비스를 원하는가? 내 회사의 방식을 배우는데 경쟁자들이 얼마나 오래걸리나? 더 적은 비용으로 같은 수준의 일을 할 수 있는 회사 그럴수록 경쟁자는 줄어듬</t>
  </si>
  <si>
    <t>인플레이션은 무상으로 무언가를 얻을때 발생함. 누군가에게 무엇을 뺏어서 지급한다면 인플레이션은 발생하지 않음</t>
  </si>
  <si>
    <t>이자는 시간의 가격. 미래에 지불가능한 것을 현재 소유하거나 실행하는데 드는 비용. 내가 지금 이자 8%복리로 돈을 빌리는게 나을까 아니면 주식을 사서 보유하는게 나을까? 어떤 결과가 이득인가? 목표가가 얼마인데 이 가격이되려면 이자로 몇퍼센트가 산정될까?</t>
  </si>
  <si>
    <t>돈을 빌릴때는 그 돈을 주고 사는 시간이 그만한 가치가 있는지 스스로에게 물어야함. 청년이 교육을 받기위해 돈을 빌리는것은 일반적으로 매으ㅡ 좋은일인것처럼</t>
  </si>
  <si>
    <t>인플레이션이 높을수록 시간을 사는데 드는 비용이 늘어남 즉 금리가 높아짐. 돈을 찍어낸다는것은 빌리는 사람에게 유리하다는걸 빌려주는 사람도 빌리는 사람도 안다</t>
  </si>
  <si>
    <t>대출기관은 예상되는 화폐 가치 하락에 대해서 보호하기 위해 금리를 올림.인플레이션이 오면 모든 사람이 자신을지키기 위해 돈을 빌린다</t>
  </si>
  <si>
    <t>금리가 하락한다는 것은 지금 당장 구매하는것에 대한 이점이 줄어든다는것</t>
  </si>
  <si>
    <t>분별있는 선택을 하기 위해서는 실용적인 상상력, 즉 지금은 눈에 보이지 않는 얼마후 자신에게 중요해질 문제를 상상하는 능력이 필요하다</t>
  </si>
  <si>
    <t>늘 꿈꿨지만 과거에는 불가능했던 일을 가능하게 하는 발견</t>
  </si>
  <si>
    <t>늘 해야 하는 일을 과거보다 쉽고 빠르고 더 적은 비용으로 할 수 있는 새로운 방법이나 장비</t>
  </si>
  <si>
    <t>서비스의 품질을 유지 개선하면서 서비스제공에 필요한 노동력을 대체하는 절차나 장비</t>
  </si>
  <si>
    <t>새롭고 저렴한 에너지원</t>
  </si>
  <si>
    <t>생태 환경에 끼치는 피해를 줄이거나 피해를 주지 않으면서 늘 수행해오던 필수 작업을 할 수 있는 새로운방법</t>
  </si>
  <si>
    <t>막대한 규모의 쓰레기와 오수를 만들지 않으면서 문명화된 인류가 필요로 하는 물과 물질을 재활용하는 개선된 방법</t>
  </si>
  <si>
    <t>배달원이나 폐기물 없이도 배달될수 있는 방법</t>
  </si>
  <si>
    <t>사람이나 물품을 육상으로 운송하는 기존의 탈것을 대체할 수있는 방법과 장비</t>
  </si>
  <si>
    <t>사상 최악의 약세장에서도 가격이 바닥까지 극단적으로 내려와도 회복 할 기업</t>
  </si>
  <si>
    <t>원자재가격에 급등에 따른 기초 원자재 수요 공급 비율 변화에 힘입어 상승</t>
  </si>
  <si>
    <t>인플레이션이 장기간 상승하는 가운데 사업을ㅈ확장하며 자본구조에서 레버리지를 크게 활용</t>
  </si>
  <si>
    <t>이익을 재투자해 일반 수준보다 훨씬 큰 roic달성</t>
  </si>
  <si>
    <t>미래에기대되는 모든 성장의 대가를 현재에 지불하는것을 경계 40년동안 주가가 100배 오르기위해선 연평균 성장율이 12.2%가 되어야함... 더 짧은 기간이라면 35년 14%, 30녀ㆍ 16%  25 25% 20 26% 15 36%ㄷㄷ</t>
  </si>
  <si>
    <t>아무리 작은 기업이라도 무한히 성장할 수 앖음. 고려해야하는 현실적인 문제는 지금의 성장율이 얼마나 유지 되냐는것이고 성장율이 얼마나 지속되어야 현재 주가늘 정당화 하느냐는것</t>
  </si>
  <si>
    <t>장기투자를 생각했을때 한 사이클을 5년 10년이라 할때 몇배 성장할 수 있을지 가정 및 계산 하고 그 값으로 역산하면 per이 몇배일때 가능한 시나리오인지 알 수 있음 산출된 per보다 높을수록 주가에 미래 성장성이 반영됨</t>
  </si>
  <si>
    <t>보잉</t>
  </si>
  <si>
    <t>회생이긴 한데 재무분석하기 힘듬. 한번의 실수로 모든 명성을 잃음으로 폐기</t>
  </si>
  <si>
    <t>파이가 작아지나?</t>
  </si>
  <si>
    <t>작은 독점 기업들 인수.</t>
  </si>
  <si>
    <t>x21배 역사적으로 싼 구간.</t>
  </si>
  <si>
    <t>배팅업체 돈풀기 시작하면 좋아질 것 같은데 얘는 수수료 장사가 아닌가? 왜 손해보지/</t>
  </si>
  <si>
    <t>DKNG</t>
  </si>
  <si>
    <t>배팅업체 1위</t>
  </si>
  <si>
    <t>x15배인가 역사적으로 싼 구간</t>
  </si>
  <si>
    <t>싸고 영업이익 좋긴한데 경쟁력이 유지 될까? 호불호 잇는것 같음</t>
  </si>
  <si>
    <t>DUOL</t>
  </si>
  <si>
    <t>언어 학습 앱 1위, 게임형식 경쟁.</t>
  </si>
  <si>
    <t>보수적으로 잡아서 200$ 인데 현재가 180$</t>
  </si>
  <si>
    <t>GWRE</t>
  </si>
  <si>
    <t>보험 sw 귀찮은거 해주는거 해자는 있음. 1위 근데 존나비쌈;;</t>
  </si>
  <si>
    <t>x75배;;  적정주가는 100$ 인데 지금 200$</t>
  </si>
  <si>
    <t>클라우드 전환으로 보험업계에서의 구독모델로 전환..</t>
  </si>
  <si>
    <t>IBP</t>
  </si>
  <si>
    <t xml:space="preserve">단열 방수 시공업체, 소규모 지방 기업들 인수하면서 해자 구축중. </t>
  </si>
  <si>
    <t>2배 비쌈.</t>
  </si>
  <si>
    <t>건설이라 좀 꺼려짐</t>
  </si>
  <si>
    <t>BX</t>
  </si>
  <si>
    <t>대체 투자</t>
  </si>
  <si>
    <t>데이터 센터, 부동산 투자... 나한테는 너무 리스키함</t>
  </si>
  <si>
    <t>kkr</t>
  </si>
  <si>
    <t>보험업 인수로 안정적인 현금 수급으로 투자 증가. 복리로 유리</t>
  </si>
  <si>
    <t>적정 주가.</t>
  </si>
  <si>
    <t>대체투자 보험업 진출로 안정적인 자금확보, 자사주 매입으로 복리</t>
  </si>
  <si>
    <t>knsl</t>
  </si>
  <si>
    <t>위험도 높은 보험 전문 업체, 역대급으로 저점. 일반 보험 회사로 회귀중?</t>
  </si>
  <si>
    <t>경쟁력 있는데? 살만함</t>
  </si>
  <si>
    <t>위험도 높은 보험, 자체 통합 플랫폼으로 위험도 산출해서 보험료 책정.</t>
  </si>
  <si>
    <t>wbtn</t>
  </si>
  <si>
    <t>googl</t>
  </si>
  <si>
    <t xml:space="preserve">제미나이 고트, 광고 독과점, 유튜브 엔터 만능 ㅅㅂ;; </t>
  </si>
  <si>
    <t>고트... 왜 저평가 기간동안 안샀는지 의문 시발 하지만 적정주가 200$</t>
  </si>
  <si>
    <t xml:space="preserve"> ADBE</t>
  </si>
  <si>
    <t xml:space="preserve">이미지편집, 영상편집  AI 1황. 표준으로 모든 기업이 이 회사의 제품을 기준으로 만들기 때문에 압도적인 해자 존재. </t>
  </si>
  <si>
    <t>PTC(Parametric Technology Corporation)가 하는 일을 가장 쉽게 비유하자면 **"제조업계의 마이크로소프트"**입니다.
우리가 문서를 작성할 때 엑셀과 워드를 쓰듯, 전 세계의 공장과 엔지니어들은 제품을 설계하고, 만들고, 관리할 때 PTC의 소프트웨어를 씁니다.
PTC가 돈을 버는 과정은 '물건(제품)의 탄생부터 죽음까지' 모든 단계를 소프트웨어로 장악하는 방식입니다. 구체적으로 4단계로 나누어 돈을 벋어들입니다.
1. 설계 단계: "그릴 때 돈을 받는다" (CAD - Creo)
제품: 크레오(Creo)
하는 일: 3D 설계 프로그램입니다. 엔지니어가 자동차 엔진이나 로봇 팔을 컴퓨터상에서 그릴 때 씁니다.
수익 모델: 과거에는 프로그램을 한 번 팔고 끝났지만, 지금은 넷플릭스처럼 매달/매년 구독료를 받습니다. 엔지니어는 이 툴 없이는 일을 시작조차 할 수 없으므로 가장 기초적인 현금 창출원입니다.
2. 관리 단계: "족보를 관리해주며 돈을 받는다" (PLM - Windchill) ★ 핵심
제품: 윈칠(Windchill)
하는 일: PTC 매출의 가장 큰 비중을 차지하는 효자 상품입니다.
예를 들어, 자동차 한 대에 들어가는 부품이 3만 개입니다. 이 3만 개의 도면, 수정 내역, 부품 리스트, 승인 문서 등을 싹 다 관리해 주는 '제조업 전용 거대 도서관' 시스템입니다.
수익 모델: 이 시스템은 한 번 깔면 절대 못 바꿉니다. 10년 치 설계 데이터가 다 들어있기 때문입니다. 기업 규모에 따라 수십억~수백억 원의 사용료를 매년 받습니다. (이걸 **PLM(제품 수명주기 관리)**이라고 부릅니다.)
3. 운영 단계: "공장을 연결해주고 돈을 받는다" (IoT - ThingWorx)
제품: 씽웍스(ThingWorx)
하는 일: 공장에 있는 기계(로봇 팔, 컨베이어 벨트)에 센서를 달아 인터넷에 연결해 주는 플랫폼입니다.
"3번 라인 로봇 팔 온도가 너무 높습니다. 10분 뒤 고장 날 것 같습니다."라고 알려주는 역할을 합니다.
수익 모델: 공장 자동화(스마트 팩토리)를 하려는 기업에게 플랫폼 사용료를 받습니다. 기계가 늘어날수록, 연결된 센서가 많아질수록 PTC가 가져가는 돈도 늘어납니다.
4. 수리 단계: "고치는 법을 보여주고 돈을 받는다" (AR - Vuforia)
제품: 뷰포리아(Vuforia)
하는 일: 증강현실(AR) 기술입니다. 현장 작업자가 태블릿이나 글래스를 기계에 갖다 대면, 화면 위에 "여기를 돌려서 나사를 푸세요"라고 화살표로 알려줍니다.
수익 모델: 숙련된 기술자가 부족한 요즘, 초보자도 기계를 고칠 수 있게 해 주기 때문에 제조 기업들이 비싼 라이선스 비용을 내고 도입합니다.
💰 PTC의 진짜 매력: "락인(Lock-in)과 전환 비용"
PTC가 돈을 잘 버는 이유는 단순히 소프트웨어를 팔아서가 아니라, 고객이 '도망가지 못하게' 만들었기 때문입니다.
전환 비용(Switching Cost)이 너무 큽니다: 현대차가 만약 PTC의 '윈칠(PLM)'을 쓰다가 다른 회사 걸로 바꾸려면, 지난 수십 년간 쌓인 수억 개의 설계 데이터를 다 옮겨야 합니다. 사실상 불가능합니다. 그래서 한 번 고객은 영원한 고객이 됩니다.
구독 경제(SaaS)의 힘: 예전에는 불경기에 소프트웨어 구매를 미뤘지만, 지금은 구독 형태라 경기가 안 좋아도 공장을 돌리려면 매년 돈을 내야 합니다.
높은 영업이익률: 공장을 짓거나 원자재를 사올 필요가 없습니다. 코드만 짜서 팔면 되기 때문에 마진율이 매우 높고 현금 흐름이 좋습니다.
요약
PTC는 **"물건을 만드는 회사가 아니라, 물건 만드는 회사가 쓰는 '운영체제(OS)'를 파는 회사"**입니다.
설계(CAD) → 관리(PLM) → 연결(IoT) → 증강현실(AR)
이 4박자가 연결되어 있어, 고객사(제조업체)는 PTC 생태계에 한 번 발을 들이면 빠져나올 수 없는 구조로 돈을 법니다.</t>
  </si>
  <si>
    <t xml:space="preserve"> 시놉시스, 디지털 반도체, 물리 해석계의 1황. 반도체와 물리 엔진의 결합.</t>
  </si>
  <si>
    <t xml:space="preserve"> CDNS</t>
  </si>
  <si>
    <t xml:space="preserve">아날로그 반도체 + AI </t>
  </si>
  <si>
    <t>TDG</t>
  </si>
  <si>
    <t>방산 부품업계의 사모펀드, 전투기 민항기 등의 밸브 펌프 잠금장치 같은 자잘한 부품을 만드는 회사를 인수해서 경쟁자가 없음. 그래서 이익율이 50%에 달함. 한번 만들면 몇십년을 사용해야함으로 그동안 부품을 갈아끼는데 현금흐름이 생김. 항공 우주분야의 비자/마스터카드,..</t>
  </si>
  <si>
    <t>TDY</t>
  </si>
  <si>
    <t>테라다인, 열화상 카메라 등의 드론, 우주선, 탐사선 등의 센서 포트폴리오</t>
  </si>
  <si>
    <t>pdfs</t>
  </si>
  <si>
    <t>Tesla Inc</t>
  </si>
  <si>
    <t>KKR &amp; Co Inc</t>
  </si>
  <si>
    <t>Oracle Corp</t>
  </si>
  <si>
    <t>Occidental Petroleum Corp</t>
  </si>
  <si>
    <t>Sharkninja Inc</t>
  </si>
  <si>
    <t>Nuscale Power Corp</t>
  </si>
  <si>
    <t>Webtoon Entertainment Inc</t>
  </si>
  <si>
    <t>Digimarc Corp</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</si>
</sst>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numFmt numFmtId="165" formatCode="[$₩-412]#,##0"/>
    <numFmt numFmtId="166" formatCode="[$$]#,##0.00"/>
    <numFmt numFmtId="167" formatCode="0.0%"/>
    <numFmt numFmtId="168" formatCode="yyyy. M. d"/>
    <numFmt numFmtId="169" formatCode="[$₩-412]#,##0.00"/>
    <numFmt numFmtId="170" formatCode="0.0"/>
  </numFmts>
  <fonts count="12">
    <font>
      <sz val="10.0"/>
      <color rgb="FF000000"/>
      <name val="Arial"/>
      <scheme val="minor"/>
    </font>
    <font>
      <sz val="12.0"/>
      <color rgb="FFFFFFFF"/>
      <name val="Times New Roman"/>
    </font>
    <font>
      <sz val="12.0"/>
      <color theme="1"/>
      <name val="Times New Roman"/>
    </font>
    <font>
      <b/>
      <sz val="14.0"/>
      <color theme="1"/>
      <name val="Times New Roman"/>
    </font>
    <font>
      <i/>
      <sz val="13.0"/>
      <color theme="1"/>
      <name val="Times New Roman"/>
    </font>
    <font>
      <i/>
      <sz val="12.0"/>
      <color theme="1"/>
      <name val="Times New Roman"/>
    </font>
    <font/>
    <font>
      <b/>
      <sz val="12.0"/>
      <color theme="1"/>
      <name val="Times New Roman"/>
    </font>
    <font>
      <color theme="1"/>
      <name val="Arial"/>
      <scheme val="minor"/>
    </font>
    <font>
      <b/>
      <color theme="1"/>
      <name val="Arial"/>
      <scheme val="minor"/>
    </font>
    <font>
      <b/>
      <sz val="14.0"/>
      <color theme="1"/>
      <name val="&quot;Google Sans&quot;"/>
    </font>
    <font>
      <b/>
      <sz val="14.0"/>
      <color theme="1"/>
      <name val="&quot;Google Sans Text&quot;"/>
    </font>
  </fonts>
  <fills count="10">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rgb="FFA4C2F4"/>
        <bgColor rgb="FFA4C2F4"/>
      </patternFill>
    </fill>
    <fill>
      <patternFill patternType="solid">
        <fgColor rgb="FFB6D7A8"/>
        <bgColor rgb="FFB6D7A8"/>
      </patternFill>
    </fill>
    <fill>
      <patternFill patternType="solid">
        <fgColor rgb="FF93C47D"/>
        <bgColor rgb="FF93C47D"/>
      </patternFill>
    </fill>
    <fill>
      <patternFill patternType="solid">
        <fgColor rgb="FFFF0000"/>
        <bgColor rgb="FFFF0000"/>
      </patternFill>
    </fill>
    <fill>
      <patternFill patternType="solid">
        <fgColor rgb="FFC9DAF8"/>
        <bgColor rgb="FFC9DAF8"/>
      </patternFill>
    </fill>
  </fills>
  <borders count="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medium">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3" fontId="2" numFmtId="0" xfId="0" applyBorder="1" applyFill="1" applyFont="1"/>
    <xf borderId="2" fillId="2" fontId="3" numFmtId="0" xfId="0" applyAlignment="1" applyBorder="1" applyFont="1">
      <alignment readingOrder="0"/>
    </xf>
    <xf borderId="3" fillId="2" fontId="2" numFmtId="0" xfId="0" applyBorder="1" applyFont="1"/>
    <xf borderId="1" fillId="2" fontId="2" numFmtId="0" xfId="0" applyAlignment="1" applyBorder="1" applyFont="1">
      <alignment readingOrder="0"/>
    </xf>
    <xf borderId="1" fillId="3" fontId="2" numFmtId="0" xfId="0" applyAlignment="1" applyBorder="1" applyFont="1">
      <alignment readingOrder="0"/>
    </xf>
    <xf borderId="4" fillId="2" fontId="4" numFmtId="0" xfId="0" applyAlignment="1" applyBorder="1" applyFont="1">
      <alignment horizontal="center" readingOrder="0" vertical="bottom"/>
    </xf>
    <xf borderId="1" fillId="2" fontId="5" numFmtId="0" xfId="0" applyAlignment="1" applyBorder="1" applyFont="1">
      <alignment horizontal="center" readingOrder="0" vertical="bottom"/>
    </xf>
    <xf borderId="1" fillId="2" fontId="2" numFmtId="164" xfId="0" applyBorder="1" applyFont="1" applyNumberFormat="1"/>
    <xf borderId="1" fillId="3" fontId="2" numFmtId="164" xfId="0" applyBorder="1" applyFont="1" applyNumberFormat="1"/>
    <xf borderId="1" fillId="2" fontId="2" numFmtId="165" xfId="0" applyAlignment="1" applyBorder="1" applyFont="1" applyNumberFormat="1">
      <alignment readingOrder="0"/>
    </xf>
    <xf borderId="5" fillId="0" fontId="6" numFmtId="0" xfId="0" applyBorder="1" applyFont="1"/>
    <xf borderId="1" fillId="2" fontId="2" numFmtId="0" xfId="0" applyAlignment="1" applyBorder="1" applyFont="1">
      <alignment horizontal="center" readingOrder="0" vertical="center"/>
    </xf>
    <xf borderId="4" fillId="2" fontId="2" numFmtId="0" xfId="0" applyBorder="1" applyFont="1"/>
    <xf borderId="4" fillId="2" fontId="2" numFmtId="0" xfId="0" applyAlignment="1" applyBorder="1" applyFont="1">
      <alignment horizontal="center" readingOrder="0" vertical="center"/>
    </xf>
    <xf borderId="6" fillId="0" fontId="6" numFmtId="0" xfId="0" applyBorder="1" applyFont="1"/>
    <xf borderId="3" fillId="0" fontId="6" numFmtId="0" xfId="0" applyBorder="1" applyFont="1"/>
    <xf borderId="3" fillId="2" fontId="2" numFmtId="0" xfId="0" applyAlignment="1" applyBorder="1" applyFont="1">
      <alignment readingOrder="0"/>
    </xf>
    <xf borderId="1" fillId="2" fontId="2" numFmtId="166" xfId="0" applyAlignment="1" applyBorder="1" applyFont="1" applyNumberFormat="1">
      <alignment readingOrder="0"/>
    </xf>
    <xf borderId="3" fillId="2" fontId="2" numFmtId="166" xfId="0" applyAlignment="1" applyBorder="1" applyFont="1" applyNumberFormat="1">
      <alignment readingOrder="0"/>
    </xf>
    <xf borderId="1" fillId="2" fontId="2" numFmtId="165" xfId="0" applyBorder="1" applyFont="1" applyNumberFormat="1"/>
    <xf borderId="3" fillId="2" fontId="2" numFmtId="165" xfId="0" applyBorder="1" applyFont="1" applyNumberFormat="1"/>
    <xf borderId="1" fillId="2" fontId="2" numFmtId="9" xfId="0" applyBorder="1" applyFont="1" applyNumberFormat="1"/>
    <xf borderId="3" fillId="2" fontId="2" numFmtId="9" xfId="0" applyBorder="1" applyFont="1" applyNumberFormat="1"/>
    <xf borderId="1" fillId="2" fontId="2" numFmtId="9" xfId="0" applyAlignment="1" applyBorder="1" applyFont="1" applyNumberFormat="1">
      <alignment readingOrder="0"/>
    </xf>
    <xf borderId="3" fillId="2" fontId="2" numFmtId="9" xfId="0" applyAlignment="1" applyBorder="1" applyFont="1" applyNumberFormat="1">
      <alignment readingOrder="0"/>
    </xf>
    <xf borderId="1" fillId="2" fontId="2" numFmtId="167" xfId="0" applyBorder="1" applyFont="1" applyNumberFormat="1"/>
    <xf borderId="3" fillId="2" fontId="2" numFmtId="167" xfId="0" applyBorder="1" applyFont="1" applyNumberFormat="1"/>
    <xf borderId="3" fillId="2" fontId="7" numFmtId="165" xfId="0" applyBorder="1" applyFont="1" applyNumberFormat="1"/>
    <xf borderId="3" fillId="2" fontId="7" numFmtId="9" xfId="0" applyBorder="1" applyFont="1" applyNumberFormat="1"/>
    <xf borderId="3" fillId="2" fontId="7" numFmtId="9" xfId="0" applyAlignment="1" applyBorder="1" applyFont="1" applyNumberFormat="1">
      <alignment readingOrder="0"/>
    </xf>
    <xf borderId="3" fillId="2" fontId="7" numFmtId="10" xfId="0" applyAlignment="1" applyBorder="1" applyFont="1" applyNumberFormat="1">
      <alignment readingOrder="0"/>
    </xf>
    <xf borderId="3" fillId="2" fontId="7" numFmtId="167" xfId="0" applyBorder="1" applyFont="1" applyNumberFormat="1"/>
    <xf borderId="1" fillId="2" fontId="1" numFmtId="0" xfId="0" applyAlignment="1" applyBorder="1" applyFont="1">
      <alignment readingOrder="0"/>
    </xf>
    <xf borderId="1" fillId="2" fontId="2" numFmtId="164" xfId="0" applyAlignment="1" applyBorder="1" applyFont="1" applyNumberFormat="1">
      <alignment readingOrder="0"/>
    </xf>
    <xf borderId="3" fillId="2" fontId="2" numFmtId="164" xfId="0" applyAlignment="1" applyBorder="1" applyFont="1" applyNumberFormat="1">
      <alignment readingOrder="0"/>
    </xf>
    <xf borderId="3" fillId="2" fontId="2" numFmtId="165" xfId="0" applyAlignment="1" applyBorder="1" applyFont="1" applyNumberFormat="1">
      <alignment readingOrder="0"/>
    </xf>
    <xf borderId="1" fillId="2" fontId="2" numFmtId="0" xfId="0" applyAlignment="1" applyBorder="1" applyFont="1">
      <alignment horizontal="right" readingOrder="0"/>
    </xf>
    <xf borderId="3" fillId="2" fontId="2" numFmtId="0" xfId="0" applyAlignment="1" applyBorder="1" applyFont="1">
      <alignment horizontal="right" readingOrder="0"/>
    </xf>
    <xf borderId="1" fillId="2" fontId="2" numFmtId="0" xfId="0" applyAlignment="1" applyBorder="1" applyFont="1">
      <alignment vertical="bottom"/>
    </xf>
    <xf borderId="1" fillId="2" fontId="2" numFmtId="10" xfId="0" applyAlignment="1" applyBorder="1" applyFont="1" applyNumberFormat="1">
      <alignment readingOrder="0"/>
    </xf>
    <xf borderId="1" fillId="2" fontId="2" numFmtId="10" xfId="0" applyBorder="1" applyFont="1" applyNumberFormat="1"/>
    <xf borderId="0" fillId="0" fontId="8" numFmtId="0" xfId="0" applyAlignment="1" applyFont="1">
      <alignment horizontal="left"/>
    </xf>
    <xf borderId="0" fillId="0" fontId="8" numFmtId="0" xfId="0" applyAlignment="1" applyFont="1">
      <alignment readingOrder="0"/>
    </xf>
    <xf borderId="0" fillId="0" fontId="8" numFmtId="0" xfId="0" applyAlignment="1" applyFont="1">
      <alignment horizontal="center" readingOrder="0" vertical="center"/>
    </xf>
    <xf borderId="0" fillId="0" fontId="8" numFmtId="0" xfId="0" applyAlignment="1" applyFont="1">
      <alignment horizontal="center" readingOrder="0"/>
    </xf>
    <xf borderId="0" fillId="0" fontId="8" numFmtId="0" xfId="0" applyAlignment="1" applyFont="1">
      <alignment readingOrder="0"/>
    </xf>
    <xf borderId="0" fillId="0" fontId="8" numFmtId="0" xfId="0" applyAlignment="1" applyFont="1">
      <alignment horizontal="right" readingOrder="0"/>
    </xf>
    <xf borderId="0" fillId="0" fontId="8" numFmtId="168" xfId="0" applyAlignment="1" applyFont="1" applyNumberFormat="1">
      <alignment horizontal="left" readingOrder="0"/>
    </xf>
    <xf borderId="0" fillId="0" fontId="8" numFmtId="165" xfId="0" applyAlignment="1" applyFont="1" applyNumberFormat="1">
      <alignment readingOrder="0"/>
    </xf>
    <xf borderId="0" fillId="0" fontId="8" numFmtId="1" xfId="0" applyAlignment="1" applyFont="1" applyNumberFormat="1">
      <alignment readingOrder="0"/>
    </xf>
    <xf borderId="0" fillId="0" fontId="8" numFmtId="165" xfId="0" applyFont="1" applyNumberFormat="1"/>
    <xf borderId="0" fillId="0" fontId="8" numFmtId="1" xfId="0" applyFont="1" applyNumberFormat="1"/>
    <xf borderId="0" fillId="0" fontId="8" numFmtId="169" xfId="0" applyFont="1" applyNumberFormat="1"/>
    <xf borderId="0" fillId="4" fontId="8" numFmtId="166" xfId="0" applyAlignment="1" applyFill="1" applyFont="1" applyNumberFormat="1">
      <alignment readingOrder="0"/>
    </xf>
    <xf borderId="7" fillId="0" fontId="8" numFmtId="164" xfId="0" applyAlignment="1" applyBorder="1" applyFont="1" applyNumberFormat="1">
      <alignment readingOrder="0"/>
    </xf>
    <xf borderId="8" fillId="0" fontId="8" numFmtId="164" xfId="0" applyAlignment="1" applyBorder="1" applyFont="1" applyNumberFormat="1">
      <alignment readingOrder="0"/>
    </xf>
    <xf borderId="0" fillId="0" fontId="8" numFmtId="164" xfId="0" applyAlignment="1" applyFont="1" applyNumberFormat="1">
      <alignment readingOrder="0"/>
    </xf>
    <xf borderId="0" fillId="0" fontId="8" numFmtId="166" xfId="0" applyAlignment="1" applyFont="1" applyNumberFormat="1">
      <alignment readingOrder="0"/>
    </xf>
    <xf borderId="0" fillId="0" fontId="8" numFmtId="164" xfId="0" applyFont="1" applyNumberFormat="1"/>
    <xf borderId="9" fillId="5" fontId="9" numFmtId="0" xfId="0" applyAlignment="1" applyBorder="1" applyFill="1" applyFont="1">
      <alignment readingOrder="0"/>
    </xf>
    <xf borderId="9" fillId="6" fontId="8" numFmtId="0" xfId="0" applyAlignment="1" applyBorder="1" applyFill="1" applyFont="1">
      <alignment readingOrder="0"/>
    </xf>
    <xf borderId="9" fillId="6" fontId="8" numFmtId="164" xfId="0" applyAlignment="1" applyBorder="1" applyFont="1" applyNumberFormat="1">
      <alignment readingOrder="0"/>
    </xf>
    <xf borderId="0" fillId="0" fontId="8" numFmtId="0" xfId="0" applyAlignment="1" applyFont="1">
      <alignment readingOrder="0" vertical="top"/>
    </xf>
    <xf borderId="0" fillId="0" fontId="8" numFmtId="10" xfId="0" applyAlignment="1" applyFont="1" applyNumberFormat="1">
      <alignment readingOrder="0"/>
    </xf>
    <xf borderId="0" fillId="0" fontId="9" numFmtId="0" xfId="0" applyAlignment="1" applyFont="1">
      <alignment readingOrder="0"/>
    </xf>
    <xf borderId="0" fillId="0" fontId="9" numFmtId="164" xfId="0" applyAlignment="1" applyFont="1" applyNumberFormat="1">
      <alignment readingOrder="0"/>
    </xf>
    <xf borderId="0" fillId="0" fontId="8" numFmtId="9" xfId="0" applyAlignment="1" applyFont="1" applyNumberFormat="1">
      <alignment readingOrder="0"/>
    </xf>
    <xf borderId="0" fillId="0" fontId="8" numFmtId="170" xfId="0" applyAlignment="1" applyFont="1" applyNumberFormat="1">
      <alignment readingOrder="0"/>
    </xf>
    <xf borderId="0" fillId="7" fontId="9" numFmtId="0" xfId="0" applyAlignment="1" applyFill="1" applyFont="1">
      <alignment readingOrder="0"/>
    </xf>
    <xf borderId="0" fillId="7" fontId="9" numFmtId="1" xfId="0" applyAlignment="1" applyFont="1" applyNumberFormat="1">
      <alignment readingOrder="0"/>
    </xf>
    <xf borderId="0" fillId="0" fontId="9" numFmtId="1" xfId="0" applyAlignment="1" applyFont="1" applyNumberFormat="1">
      <alignment readingOrder="0"/>
    </xf>
    <xf borderId="0" fillId="7" fontId="8" numFmtId="0" xfId="0" applyAlignment="1" applyFont="1">
      <alignment readingOrder="0"/>
    </xf>
    <xf borderId="0" fillId="7" fontId="8" numFmtId="1" xfId="0" applyAlignment="1" applyFont="1" applyNumberFormat="1">
      <alignment readingOrder="0"/>
    </xf>
    <xf borderId="0" fillId="0" fontId="8" numFmtId="2" xfId="0" applyAlignment="1" applyFont="1" applyNumberFormat="1">
      <alignment readingOrder="0"/>
    </xf>
    <xf borderId="0" fillId="0" fontId="10" numFmtId="0" xfId="0" applyAlignment="1" applyFont="1">
      <alignment readingOrder="0"/>
    </xf>
    <xf borderId="0" fillId="0" fontId="11" numFmtId="0" xfId="0" applyFont="1"/>
    <xf borderId="0" fillId="0" fontId="11" numFmtId="0" xfId="0" applyAlignment="1" applyFont="1">
      <alignment readingOrder="0"/>
    </xf>
    <xf borderId="0" fillId="0" fontId="11" numFmtId="10" xfId="0" applyAlignment="1" applyFont="1" applyNumberFormat="1">
      <alignment readingOrder="0"/>
    </xf>
    <xf borderId="0" fillId="8" fontId="8" numFmtId="0" xfId="0" applyAlignment="1" applyFill="1" applyFont="1">
      <alignment readingOrder="0"/>
    </xf>
    <xf borderId="0" fillId="0" fontId="8" numFmtId="164" xfId="0" applyAlignment="1" applyFont="1" applyNumberFormat="1">
      <alignment horizontal="right" readingOrder="0"/>
    </xf>
    <xf borderId="0" fillId="9" fontId="8" numFmtId="164" xfId="0" applyFill="1" applyFont="1" applyNumberFormat="1"/>
    <xf borderId="0" fillId="0" fontId="8" numFmtId="164" xfId="0" applyAlignment="1" applyFont="1" applyNumberFormat="1">
      <alignment horizontal="right"/>
    </xf>
    <xf borderId="0" fillId="4" fontId="8" numFmtId="0" xfId="0" applyAlignment="1" applyFont="1">
      <alignment readingOrder="0"/>
    </xf>
    <xf borderId="0" fillId="8" fontId="8" numFmtId="0" xfId="0" applyFont="1"/>
    <xf borderId="0" fillId="0" fontId="8" numFmtId="0" xfId="0" applyAlignment="1" applyFont="1">
      <alignment readingOrder="0" vertical="center"/>
    </xf>
    <xf borderId="0" fillId="0" fontId="8" numFmtId="9" xfId="0" applyFont="1" applyNumberFormat="1"/>
    <xf borderId="0" fillId="0" fontId="8"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차곡차곡</a:t>
            </a:r>
          </a:p>
        </c:rich>
      </c:tx>
      <c:overlay val="0"/>
    </c:title>
    <c:plotArea>
      <c:layout/>
      <c:lineChart>
        <c:varyColors val="0"/>
        <c:ser>
          <c:idx val="0"/>
          <c:order val="0"/>
          <c:tx>
            <c:strRef>
              <c:f>'월별자산'!$C$5:$C$6</c:f>
            </c:strRef>
          </c:tx>
          <c:spPr>
            <a:ln cmpd="sng">
              <a:solidFill>
                <a:srgbClr val="4285F4"/>
              </a:solidFill>
            </a:ln>
          </c:spPr>
          <c:marker>
            <c:symbol val="none"/>
          </c:marker>
          <c:cat>
            <c:strRef>
              <c:f>'월별자산'!$B$7:$B$79</c:f>
            </c:strRef>
          </c:cat>
          <c:val>
            <c:numRef>
              <c:f>'월별자산'!$C$7:$C$79</c:f>
              <c:numCache/>
            </c:numRef>
          </c:val>
          <c:smooth val="0"/>
        </c:ser>
        <c:axId val="165807734"/>
        <c:axId val="972856564"/>
      </c:lineChart>
      <c:catAx>
        <c:axId val="1658077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2856564"/>
      </c:catAx>
      <c:valAx>
        <c:axId val="972856564"/>
        <c:scaling>
          <c:orientation val="minMax"/>
          <c:max val="5.0E8"/>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807734"/>
      </c:valAx>
      <c:lineChart>
        <c:ser>
          <c:idx val="1"/>
          <c:order val="1"/>
          <c:tx>
            <c:strRef>
              <c:f>'월별자산'!$L$5:$L$6</c:f>
            </c:strRef>
          </c:tx>
          <c:spPr>
            <a:ln cmpd="sng">
              <a:solidFill>
                <a:srgbClr val="EA4335"/>
              </a:solidFill>
            </a:ln>
          </c:spPr>
          <c:marker>
            <c:symbol val="none"/>
          </c:marker>
          <c:cat>
            <c:strRef>
              <c:f>'월별자산'!$B$7:$B$79</c:f>
            </c:strRef>
          </c:cat>
          <c:val>
            <c:numRef>
              <c:f>'월별자산'!$L$7:$L$79</c:f>
              <c:numCache/>
            </c:numRef>
          </c:val>
          <c:smooth val="0"/>
        </c:ser>
        <c:ser>
          <c:idx val="2"/>
          <c:order val="2"/>
          <c:tx>
            <c:strRef>
              <c:f>'월별자산'!$R$5:$R$6</c:f>
            </c:strRef>
          </c:tx>
          <c:spPr>
            <a:ln cmpd="sng">
              <a:solidFill>
                <a:srgbClr val="6AA84F">
                  <a:alpha val="100000"/>
                </a:srgbClr>
              </a:solidFill>
            </a:ln>
          </c:spPr>
          <c:marker>
            <c:symbol val="none"/>
          </c:marker>
          <c:cat>
            <c:strRef>
              <c:f>'월별자산'!$B$7:$B$79</c:f>
            </c:strRef>
          </c:cat>
          <c:val>
            <c:numRef>
              <c:f>'월별자산'!$R$7:$R$79</c:f>
              <c:numCache/>
            </c:numRef>
          </c:val>
          <c:smooth val="0"/>
        </c:ser>
        <c:axId val="1625134836"/>
        <c:axId val="1859694888"/>
      </c:lineChart>
      <c:catAx>
        <c:axId val="162513483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859694888"/>
      </c:catAx>
      <c:valAx>
        <c:axId val="1859694888"/>
        <c:scaling>
          <c:orientation val="minMax"/>
          <c:max val="15000.0"/>
        </c:scaling>
        <c:delete val="0"/>
        <c:axPos val="r"/>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cross"/>
        <c:tickLblPos val="nextTo"/>
        <c:spPr>
          <a:ln/>
        </c:spPr>
        <c:txPr>
          <a:bodyPr/>
          <a:lstStyle/>
          <a:p>
            <a:pPr lvl="0">
              <a:defRPr b="0">
                <a:solidFill>
                  <a:srgbClr val="000000"/>
                </a:solidFill>
                <a:latin typeface="+mn-lt"/>
              </a:defRPr>
            </a:pPr>
          </a:p>
        </c:txPr>
        <c:crossAx val="162513483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배당꿈나무</a:t>
            </a:r>
          </a:p>
        </c:rich>
      </c:tx>
      <c:overlay val="0"/>
    </c:title>
    <c:plotArea>
      <c:layout/>
      <c:barChart>
        <c:barDir val="col"/>
        <c:ser>
          <c:idx val="0"/>
          <c:order val="0"/>
          <c:tx>
            <c:strRef>
              <c:f>'월별자산'!$N$5:$N$6</c:f>
            </c:strRef>
          </c:tx>
          <c:spPr>
            <a:solidFill>
              <a:schemeClr val="accent1"/>
            </a:solidFill>
            <a:ln cmpd="sng">
              <a:solidFill>
                <a:srgbClr val="000000"/>
              </a:solidFill>
            </a:ln>
          </c:spPr>
          <c:cat>
            <c:strRef>
              <c:f>'월별자산'!$B$7:$B$79</c:f>
            </c:strRef>
          </c:cat>
          <c:val>
            <c:numRef>
              <c:f>'월별자산'!$N$7:$N$79</c:f>
              <c:numCache/>
            </c:numRef>
          </c:val>
        </c:ser>
        <c:axId val="1861677581"/>
        <c:axId val="1056783553"/>
      </c:barChart>
      <c:catAx>
        <c:axId val="18616775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6783553"/>
      </c:catAx>
      <c:valAx>
        <c:axId val="1056783553"/>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1677581"/>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24</xdr:row>
      <xdr:rowOff>28575</xdr:rowOff>
    </xdr:from>
    <xdr:ext cx="6943725" cy="4295775"/>
    <xdr:pic>
      <xdr:nvPicPr>
        <xdr:cNvPr id="1907615900" name="Chart1"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314325</xdr:colOff>
      <xdr:row>1</xdr:row>
      <xdr:rowOff>9525</xdr:rowOff>
    </xdr:from>
    <xdr:ext cx="5715000" cy="3533775"/>
    <xdr:graphicFrame>
      <xdr:nvGraphicFramePr>
        <xdr:cNvPr id="2" name="Chart 2"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314325</xdr:colOff>
      <xdr:row>19</xdr:row>
      <xdr:rowOff>123825</xdr:rowOff>
    </xdr:from>
    <xdr:ext cx="5715000" cy="3533775"/>
    <xdr:graphicFrame>
      <xdr:nvGraphicFramePr>
        <xdr:cNvPr id="3" name="Chart 3"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3" max="3" width="2.63"/>
    <col customWidth="1" min="4" max="4" width="32.63"/>
    <col customWidth="1" min="5" max="5" width="2.63"/>
    <col customWidth="1" min="7" max="7" width="2.63"/>
    <col customWidth="1" min="9" max="9" width="2.63"/>
    <col customWidth="1" min="11" max="11" width="2.63"/>
    <col customWidth="1" min="13" max="13" width="2.63"/>
    <col customWidth="1" min="14" max="14" width="15.5"/>
    <col customWidth="1" min="15" max="15" width="2.63"/>
    <col customWidth="1" min="17" max="17" width="2.63"/>
    <col customWidth="1" min="19" max="19" width="2.63"/>
    <col customWidth="1" min="21" max="21" width="2.63"/>
    <col customWidth="1" min="23" max="23" width="2.63"/>
    <col customWidth="1" min="24" max="24" width="3.88"/>
    <col customWidth="1" min="30" max="30" width="31.5"/>
  </cols>
  <sheetData>
    <row r="1">
      <c r="A1" s="1"/>
      <c r="B1" s="2"/>
      <c r="C1" s="2"/>
      <c r="D1" s="2"/>
      <c r="E1" s="2"/>
      <c r="F1" s="2"/>
      <c r="G1" s="2"/>
      <c r="H1" s="2"/>
      <c r="I1" s="2"/>
      <c r="J1" s="2"/>
      <c r="K1" s="2"/>
      <c r="L1" s="2"/>
      <c r="M1" s="2"/>
      <c r="N1" s="2"/>
      <c r="O1" s="2"/>
      <c r="P1" s="2"/>
      <c r="Q1" s="2"/>
      <c r="R1" s="2"/>
      <c r="S1" s="2"/>
      <c r="T1" s="2"/>
      <c r="U1" s="2"/>
      <c r="V1" s="2"/>
      <c r="W1" s="2"/>
      <c r="X1" s="3"/>
      <c r="Y1" s="2"/>
      <c r="Z1" s="2"/>
      <c r="AA1" s="2"/>
      <c r="AB1" s="2"/>
      <c r="AC1" s="2"/>
      <c r="AD1" s="2"/>
      <c r="AE1" s="2"/>
      <c r="AF1" s="2"/>
      <c r="AG1" s="2"/>
      <c r="AH1" s="2"/>
      <c r="AI1" s="2"/>
      <c r="AJ1" s="2"/>
      <c r="AK1" s="2"/>
      <c r="AL1" s="2"/>
    </row>
    <row r="2">
      <c r="A2" s="1"/>
      <c r="B2" s="4" t="s">
        <v>0</v>
      </c>
      <c r="C2" s="2"/>
      <c r="D2" s="2"/>
      <c r="E2" s="2"/>
      <c r="F2" s="2"/>
      <c r="G2" s="2"/>
      <c r="H2" s="2"/>
      <c r="I2" s="2"/>
      <c r="J2" s="2"/>
      <c r="K2" s="2"/>
      <c r="L2" s="2"/>
      <c r="M2" s="2"/>
      <c r="N2" s="2"/>
      <c r="O2" s="2"/>
      <c r="P2" s="2"/>
      <c r="Q2" s="2"/>
      <c r="R2" s="2"/>
      <c r="S2" s="2"/>
      <c r="T2" s="2"/>
      <c r="U2" s="2"/>
      <c r="V2" s="2"/>
      <c r="W2" s="2"/>
      <c r="X2" s="3"/>
      <c r="Y2" s="2"/>
      <c r="Z2" s="2"/>
      <c r="AA2" s="2"/>
      <c r="AB2" s="2"/>
      <c r="AC2" s="2"/>
      <c r="AD2" s="2"/>
      <c r="AE2" s="2"/>
      <c r="AF2" s="2"/>
      <c r="AG2" s="2"/>
      <c r="AH2" s="2"/>
      <c r="AI2" s="2"/>
      <c r="AJ2" s="2"/>
      <c r="AK2" s="2"/>
      <c r="AL2" s="2"/>
    </row>
    <row r="3">
      <c r="A3" s="1"/>
      <c r="B3" s="5"/>
      <c r="C3" s="2"/>
      <c r="D3" s="2"/>
      <c r="E3" s="2"/>
      <c r="F3" s="2"/>
      <c r="G3" s="2"/>
      <c r="H3" s="2"/>
      <c r="I3" s="2"/>
      <c r="J3" s="2"/>
      <c r="K3" s="2"/>
      <c r="L3" s="2"/>
      <c r="M3" s="2"/>
      <c r="N3" s="2"/>
      <c r="O3" s="2"/>
      <c r="P3" s="2"/>
      <c r="Q3" s="2"/>
      <c r="R3" s="2"/>
      <c r="S3" s="6"/>
      <c r="T3" s="6"/>
      <c r="U3" s="6"/>
      <c r="V3" s="6"/>
      <c r="W3" s="6"/>
      <c r="X3" s="7"/>
      <c r="Y3" s="6" t="s">
        <v>1</v>
      </c>
      <c r="Z3" s="6" t="s">
        <v>2</v>
      </c>
      <c r="AA3" s="2"/>
      <c r="AB3" s="2"/>
      <c r="AC3" s="2"/>
      <c r="AD3" s="2"/>
      <c r="AE3" s="2"/>
      <c r="AF3" s="2"/>
      <c r="AG3" s="2"/>
      <c r="AH3" s="2"/>
      <c r="AI3" s="2"/>
      <c r="AJ3" s="2"/>
      <c r="AK3" s="2"/>
      <c r="AL3" s="2"/>
    </row>
    <row r="4">
      <c r="A4" s="1"/>
      <c r="B4" s="8" t="s">
        <v>3</v>
      </c>
      <c r="C4" s="2"/>
      <c r="D4" s="8" t="s">
        <v>4</v>
      </c>
      <c r="E4" s="9"/>
      <c r="F4" s="8" t="s">
        <v>5</v>
      </c>
      <c r="G4" s="2"/>
      <c r="H4" s="8" t="s">
        <v>6</v>
      </c>
      <c r="I4" s="2"/>
      <c r="J4" s="8" t="s">
        <v>7</v>
      </c>
      <c r="K4" s="2"/>
      <c r="L4" s="8" t="s">
        <v>8</v>
      </c>
      <c r="M4" s="2"/>
      <c r="N4" s="8" t="s">
        <v>9</v>
      </c>
      <c r="O4" s="2"/>
      <c r="P4" s="8" t="s">
        <v>10</v>
      </c>
      <c r="Q4" s="2"/>
      <c r="R4" s="8" t="s">
        <v>11</v>
      </c>
      <c r="S4" s="10"/>
      <c r="T4" s="10"/>
      <c r="U4" s="10"/>
      <c r="V4" s="10"/>
      <c r="W4" s="10"/>
      <c r="X4" s="11"/>
      <c r="Y4" s="10">
        <f>IFERROR(__xludf.DUMMYFUNCTION("round(GOOGLEFINANCE(""usdkrw""),0)"),1485.0)</f>
        <v>1485</v>
      </c>
      <c r="Z4" s="12">
        <v>1.0E9</v>
      </c>
      <c r="AA4" s="2"/>
      <c r="AB4" s="2"/>
      <c r="AC4" s="2"/>
      <c r="AD4" s="2"/>
      <c r="AE4" s="2"/>
      <c r="AF4" s="2"/>
      <c r="AG4" s="2"/>
      <c r="AH4" s="2"/>
      <c r="AI4" s="2"/>
      <c r="AJ4" s="2"/>
      <c r="AK4" s="2"/>
      <c r="AL4" s="2"/>
    </row>
    <row r="5">
      <c r="A5" s="1"/>
      <c r="B5" s="13"/>
      <c r="C5" s="2"/>
      <c r="D5" s="13"/>
      <c r="E5" s="9"/>
      <c r="F5" s="13"/>
      <c r="G5" s="2"/>
      <c r="H5" s="13"/>
      <c r="I5" s="2"/>
      <c r="J5" s="13"/>
      <c r="K5" s="2"/>
      <c r="L5" s="13"/>
      <c r="M5" s="2"/>
      <c r="N5" s="13"/>
      <c r="O5" s="2"/>
      <c r="P5" s="13"/>
      <c r="Q5" s="2"/>
      <c r="R5" s="13"/>
      <c r="S5" s="2"/>
      <c r="T5" s="2"/>
      <c r="U5" s="2"/>
      <c r="V5" s="2"/>
      <c r="W5" s="2"/>
      <c r="X5" s="3"/>
      <c r="Y5" s="2"/>
      <c r="Z5" s="2"/>
      <c r="AA5" s="2"/>
      <c r="AB5" s="2"/>
      <c r="AC5" s="2"/>
      <c r="AD5" s="2"/>
      <c r="AE5" s="2"/>
      <c r="AF5" s="2"/>
      <c r="AG5" s="2"/>
      <c r="AH5" s="2"/>
      <c r="AI5" s="2"/>
      <c r="AJ5" s="2"/>
      <c r="AK5" s="2"/>
      <c r="AL5" s="2"/>
    </row>
    <row r="6">
      <c r="A6" s="1"/>
      <c r="B6" s="13"/>
      <c r="C6" s="14"/>
      <c r="D6" s="13"/>
      <c r="E6" s="9"/>
      <c r="F6" s="13"/>
      <c r="G6" s="14"/>
      <c r="H6" s="13"/>
      <c r="I6" s="14"/>
      <c r="J6" s="13"/>
      <c r="K6" s="14"/>
      <c r="L6" s="13"/>
      <c r="M6" s="14"/>
      <c r="N6" s="13"/>
      <c r="O6" s="14"/>
      <c r="P6" s="13"/>
      <c r="Q6" s="14"/>
      <c r="R6" s="13"/>
      <c r="S6" s="14"/>
      <c r="T6" s="8" t="s">
        <v>12</v>
      </c>
      <c r="U6" s="2"/>
      <c r="V6" s="8" t="s">
        <v>13</v>
      </c>
      <c r="W6" s="8"/>
      <c r="X6" s="3"/>
      <c r="Y6" s="15"/>
      <c r="Z6" s="16" t="s">
        <v>14</v>
      </c>
      <c r="AA6" s="2"/>
      <c r="AB6" s="2"/>
      <c r="AC6" s="2"/>
      <c r="AD6" s="2"/>
      <c r="AE6" s="2"/>
      <c r="AF6" s="2"/>
      <c r="AG6" s="2"/>
      <c r="AH6" s="2"/>
      <c r="AI6" s="2"/>
      <c r="AJ6" s="2"/>
      <c r="AK6" s="2"/>
      <c r="AL6" s="2"/>
    </row>
    <row r="7">
      <c r="A7" s="1"/>
      <c r="B7" s="17"/>
      <c r="C7" s="14"/>
      <c r="D7" s="17"/>
      <c r="E7" s="9"/>
      <c r="F7" s="17"/>
      <c r="G7" s="14"/>
      <c r="H7" s="17"/>
      <c r="I7" s="14"/>
      <c r="J7" s="17"/>
      <c r="K7" s="14"/>
      <c r="L7" s="17"/>
      <c r="M7" s="14"/>
      <c r="N7" s="17"/>
      <c r="O7" s="14"/>
      <c r="P7" s="17"/>
      <c r="Q7" s="14"/>
      <c r="R7" s="17"/>
      <c r="S7" s="14"/>
      <c r="T7" s="17"/>
      <c r="U7" s="2"/>
      <c r="V7" s="17"/>
      <c r="W7" s="8"/>
      <c r="X7" s="3"/>
      <c r="Y7" s="18"/>
      <c r="Z7" s="18"/>
      <c r="AA7" s="2"/>
      <c r="AB7" s="2"/>
      <c r="AC7" s="2"/>
      <c r="AD7" s="6" t="s">
        <v>15</v>
      </c>
      <c r="AE7" s="2"/>
      <c r="AF7" s="2"/>
      <c r="AG7" s="2"/>
      <c r="AH7" s="2"/>
      <c r="AI7" s="2"/>
      <c r="AJ7" s="2"/>
      <c r="AK7" s="2"/>
      <c r="AL7" s="2"/>
    </row>
    <row r="8">
      <c r="A8" s="1"/>
      <c r="B8" s="19"/>
      <c r="C8" s="2"/>
      <c r="D8" s="5"/>
      <c r="E8" s="6"/>
      <c r="F8" s="19"/>
      <c r="G8" s="20"/>
      <c r="H8" s="21"/>
      <c r="I8" s="20"/>
      <c r="J8" s="21"/>
      <c r="K8" s="22"/>
      <c r="L8" s="23"/>
      <c r="M8" s="22"/>
      <c r="N8" s="23"/>
      <c r="O8" s="24"/>
      <c r="P8" s="25"/>
      <c r="Q8" s="26"/>
      <c r="R8" s="27"/>
      <c r="S8" s="28"/>
      <c r="T8" s="29"/>
      <c r="U8" s="2"/>
      <c r="V8" s="2"/>
      <c r="W8" s="2"/>
      <c r="X8" s="3"/>
      <c r="Y8" s="2"/>
      <c r="Z8" s="20"/>
      <c r="AA8" s="2"/>
      <c r="AB8" s="2"/>
      <c r="AC8" s="2"/>
      <c r="AD8" s="2"/>
      <c r="AE8" s="2"/>
      <c r="AF8" s="2"/>
      <c r="AG8" s="2"/>
      <c r="AH8" s="2"/>
      <c r="AI8" s="2"/>
      <c r="AJ8" s="2"/>
      <c r="AK8" s="2"/>
      <c r="AL8" s="2"/>
    </row>
    <row r="9">
      <c r="A9" s="1"/>
      <c r="B9" s="19"/>
      <c r="C9" s="2"/>
      <c r="D9" s="5"/>
      <c r="E9" s="6"/>
      <c r="F9" s="19"/>
      <c r="G9" s="20"/>
      <c r="H9" s="21"/>
      <c r="I9" s="20"/>
      <c r="J9" s="21"/>
      <c r="K9" s="22"/>
      <c r="L9" s="30">
        <f>SUM(L10:L23)</f>
        <v>285670311.3</v>
      </c>
      <c r="M9" s="22"/>
      <c r="N9" s="30">
        <f>SUM(N10:N23)</f>
        <v>36289275.65</v>
      </c>
      <c r="O9" s="24"/>
      <c r="P9" s="31">
        <f>N9/(L9-N9)</f>
        <v>0.1455173829</v>
      </c>
      <c r="Q9" s="26"/>
      <c r="R9" s="32">
        <f>SUM(R10:R23)</f>
        <v>1</v>
      </c>
      <c r="S9" s="28"/>
      <c r="T9" s="33"/>
      <c r="U9" s="2"/>
      <c r="V9" s="34">
        <f>L9/$Z$4</f>
        <v>0.2856703113</v>
      </c>
      <c r="W9" s="34"/>
      <c r="X9" s="3"/>
      <c r="Y9" s="2"/>
      <c r="Z9" s="20"/>
      <c r="AA9" s="2"/>
      <c r="AB9" s="2"/>
      <c r="AC9" s="2"/>
      <c r="AD9" s="6" t="s">
        <v>16</v>
      </c>
      <c r="AE9" s="2"/>
      <c r="AF9" s="24">
        <f>SUM(AF10:AF23)</f>
        <v>1</v>
      </c>
      <c r="AG9" s="2"/>
      <c r="AH9" s="2"/>
      <c r="AI9" s="2"/>
      <c r="AJ9" s="2"/>
      <c r="AK9" s="2"/>
      <c r="AL9" s="2"/>
    </row>
    <row r="10">
      <c r="A10" s="35">
        <v>0.0</v>
      </c>
      <c r="B10" s="19">
        <v>1.0</v>
      </c>
      <c r="C10" s="6"/>
      <c r="D10" s="19" t="s">
        <v>17</v>
      </c>
      <c r="E10" s="6"/>
      <c r="F10" s="19" t="s">
        <v>17</v>
      </c>
      <c r="G10" s="36"/>
      <c r="H10" s="37"/>
      <c r="I10" s="20"/>
      <c r="J10" s="21"/>
      <c r="K10" s="22"/>
      <c r="L10" s="38">
        <v>0.0</v>
      </c>
      <c r="M10" s="39"/>
      <c r="N10" s="40" t="s">
        <v>18</v>
      </c>
      <c r="O10" s="39"/>
      <c r="P10" s="40" t="s">
        <v>18</v>
      </c>
      <c r="Q10" s="24"/>
      <c r="R10" s="24">
        <f t="shared" ref="R10:R17" si="1">L10/$L$9</f>
        <v>0</v>
      </c>
      <c r="S10" s="2"/>
      <c r="T10" s="5"/>
      <c r="U10" s="2"/>
      <c r="V10" s="2"/>
      <c r="W10" s="2"/>
      <c r="X10" s="3"/>
      <c r="Y10" s="2"/>
      <c r="Z10" s="2"/>
      <c r="AA10" s="2"/>
      <c r="AB10" s="2"/>
      <c r="AC10" s="6">
        <v>0.0</v>
      </c>
      <c r="AD10" s="41" t="str">
        <f t="shared" ref="AD10:AD12" si="2">VLOOKUP(AC10,$A$10:$R$23,4,0)</f>
        <v>WON</v>
      </c>
      <c r="AE10" s="6" t="s">
        <v>16</v>
      </c>
      <c r="AF10" s="24">
        <f t="shared" ref="AF10:AF23" si="3">SUMIFS($R$9:$R$23,$D$9:$D$23,$AD$9:$AD$23)</f>
        <v>0</v>
      </c>
      <c r="AG10" s="2"/>
      <c r="AH10" s="2"/>
      <c r="AI10" s="2"/>
      <c r="AJ10" s="2"/>
      <c r="AK10" s="2"/>
      <c r="AL10" s="2"/>
    </row>
    <row r="11">
      <c r="A11" s="35">
        <v>1.0</v>
      </c>
      <c r="B11" s="6">
        <v>0.0</v>
      </c>
      <c r="C11" s="6"/>
      <c r="D11" s="6" t="s">
        <v>19</v>
      </c>
      <c r="E11" s="6"/>
      <c r="F11" s="6" t="s">
        <v>19</v>
      </c>
      <c r="G11" s="36"/>
      <c r="H11" s="36">
        <f>Y4</f>
        <v>1485</v>
      </c>
      <c r="I11" s="20"/>
      <c r="J11" s="20">
        <f>Y4</f>
        <v>1485</v>
      </c>
      <c r="K11" s="22"/>
      <c r="L11" s="22">
        <f>B11*$Y$4</f>
        <v>0</v>
      </c>
      <c r="M11" s="39"/>
      <c r="N11" s="39" t="s">
        <v>18</v>
      </c>
      <c r="O11" s="39"/>
      <c r="P11" s="39" t="s">
        <v>18</v>
      </c>
      <c r="Q11" s="24"/>
      <c r="R11" s="24">
        <f t="shared" si="1"/>
        <v>0</v>
      </c>
      <c r="S11" s="2"/>
      <c r="T11" s="2"/>
      <c r="U11" s="2"/>
      <c r="V11" s="2"/>
      <c r="W11" s="2"/>
      <c r="X11" s="3"/>
      <c r="Y11" s="2"/>
      <c r="Z11" s="2"/>
      <c r="AA11" s="2"/>
      <c r="AB11" s="2"/>
      <c r="AC11" s="6">
        <v>1.0</v>
      </c>
      <c r="AD11" s="41" t="str">
        <f t="shared" si="2"/>
        <v>USD</v>
      </c>
      <c r="AE11" s="6" t="s">
        <v>16</v>
      </c>
      <c r="AF11" s="24">
        <f t="shared" si="3"/>
        <v>0</v>
      </c>
      <c r="AG11" s="2"/>
      <c r="AH11" s="2"/>
      <c r="AI11" s="2"/>
      <c r="AJ11" s="2"/>
      <c r="AK11" s="2"/>
      <c r="AL11" s="2"/>
    </row>
    <row r="12">
      <c r="A12" s="35">
        <v>2.0</v>
      </c>
      <c r="B12" s="6">
        <v>200.0</v>
      </c>
      <c r="C12" s="2"/>
      <c r="D12" s="2" t="str">
        <f>IFERROR(__xludf.DUMMYFUNCTION("GOOGLEFINANCE(""TSLA"",""name"")"),"Tesla Inc")</f>
        <v>Tesla Inc</v>
      </c>
      <c r="E12" s="6"/>
      <c r="F12" s="6" t="s">
        <v>20</v>
      </c>
      <c r="G12" s="20"/>
      <c r="H12" s="20">
        <v>202.76</v>
      </c>
      <c r="I12" s="20"/>
      <c r="J12" s="20">
        <f>IFERROR(__xludf.DUMMYFUNCTION("GOOGLEFINANCE($F12)"),349.0)</f>
        <v>349</v>
      </c>
      <c r="K12" s="22"/>
      <c r="L12" s="22">
        <f t="shared" ref="L12:L17" si="4">B12*J12*$Y$4</f>
        <v>103653000</v>
      </c>
      <c r="M12" s="2"/>
      <c r="N12" s="22">
        <f>L12-B12*H12*Z12</f>
        <v>47463337.76</v>
      </c>
      <c r="O12" s="24"/>
      <c r="P12" s="24">
        <f t="shared" ref="P12:P17" si="5">N12/(L12-N12)</f>
        <v>0.8446987554</v>
      </c>
      <c r="Q12" s="24"/>
      <c r="R12" s="24">
        <f t="shared" si="1"/>
        <v>0.3628413451</v>
      </c>
      <c r="S12" s="2"/>
      <c r="T12" s="2"/>
      <c r="U12" s="2"/>
      <c r="V12" s="2"/>
      <c r="W12" s="2"/>
      <c r="X12" s="3"/>
      <c r="Y12" s="2"/>
      <c r="Z12" s="36">
        <v>1385.62</v>
      </c>
      <c r="AA12" s="2"/>
      <c r="AB12" s="2"/>
      <c r="AC12" s="6">
        <v>2.0</v>
      </c>
      <c r="AD12" s="41" t="str">
        <f t="shared" si="2"/>
        <v>Tesla Inc</v>
      </c>
      <c r="AE12" s="6" t="s">
        <v>16</v>
      </c>
      <c r="AF12" s="24">
        <f t="shared" si="3"/>
        <v>0.3628413451</v>
      </c>
      <c r="AG12" s="2"/>
      <c r="AH12" s="2"/>
      <c r="AI12" s="2"/>
      <c r="AJ12" s="2"/>
      <c r="AK12" s="2"/>
      <c r="AL12" s="2"/>
    </row>
    <row r="13">
      <c r="A13" s="35">
        <v>9.0</v>
      </c>
      <c r="B13" s="6">
        <v>460.0</v>
      </c>
      <c r="C13" s="2"/>
      <c r="D13" s="2" t="str">
        <f>IFERROR(__xludf.DUMMYFUNCTION("GOOGLEFINANCE(""KKR"",""name"")"),"KKR &amp; Co Inc")</f>
        <v>KKR &amp; Co Inc</v>
      </c>
      <c r="E13" s="2"/>
      <c r="F13" s="6" t="s">
        <v>21</v>
      </c>
      <c r="G13" s="2"/>
      <c r="H13" s="20">
        <v>93.08</v>
      </c>
      <c r="I13" s="2"/>
      <c r="J13" s="20">
        <f>IFERROR(__xludf.DUMMYFUNCTION("GOOGLEFINANCE($F13)"),91.22)</f>
        <v>91.22</v>
      </c>
      <c r="K13" s="2"/>
      <c r="L13" s="22">
        <f t="shared" si="4"/>
        <v>62312382</v>
      </c>
      <c r="M13" s="2"/>
      <c r="N13" s="22">
        <f>L13-B13*H13*Z14</f>
        <v>-628314</v>
      </c>
      <c r="O13" s="2"/>
      <c r="P13" s="24">
        <f t="shared" si="5"/>
        <v>-0.009982635082</v>
      </c>
      <c r="Q13" s="2"/>
      <c r="R13" s="24">
        <f t="shared" si="1"/>
        <v>0.218126909</v>
      </c>
      <c r="S13" s="2"/>
      <c r="T13" s="2"/>
      <c r="U13" s="2"/>
      <c r="V13" s="2"/>
      <c r="W13" s="2"/>
      <c r="X13" s="3"/>
      <c r="Y13" s="2"/>
      <c r="Z13" s="36">
        <v>1472.0</v>
      </c>
      <c r="AA13" s="2"/>
      <c r="AB13" s="2"/>
      <c r="AC13" s="6">
        <v>9.0</v>
      </c>
      <c r="AD13" s="41" t="str">
        <f t="shared" ref="AD13:AD16" si="6">VLOOKUP(AC13,$A$11:$R$23,4,0)</f>
        <v>KKR &amp; Co Inc</v>
      </c>
      <c r="AE13" s="6" t="s">
        <v>16</v>
      </c>
      <c r="AF13" s="24">
        <f t="shared" si="3"/>
        <v>0.218126909</v>
      </c>
      <c r="AG13" s="2"/>
      <c r="AH13" s="2"/>
      <c r="AI13" s="2"/>
      <c r="AJ13" s="2"/>
      <c r="AK13" s="2"/>
      <c r="AL13" s="2"/>
    </row>
    <row r="14">
      <c r="A14" s="35">
        <v>13.0</v>
      </c>
      <c r="B14" s="6">
        <v>197.0</v>
      </c>
      <c r="C14" s="2"/>
      <c r="D14" s="2" t="str">
        <f>IFERROR(__xludf.DUMMYFUNCTION("GOOGLEFINANCE(""ORCL"",""name"")"),"Oracle Corp")</f>
        <v>Oracle Corp</v>
      </c>
      <c r="E14" s="2"/>
      <c r="F14" s="6" t="s">
        <v>22</v>
      </c>
      <c r="G14" s="2"/>
      <c r="H14" s="20">
        <v>147.95</v>
      </c>
      <c r="I14" s="2"/>
      <c r="J14" s="20">
        <f>IFERROR(__xludf.DUMMYFUNCTION("GOOGLEFINANCE($F14)"),138.09)</f>
        <v>138.09</v>
      </c>
      <c r="K14" s="2"/>
      <c r="L14" s="22">
        <f t="shared" si="4"/>
        <v>40397539.05</v>
      </c>
      <c r="M14" s="2"/>
      <c r="N14" s="22">
        <f>L14-B14*H14*Z13</f>
        <v>-2505593.75</v>
      </c>
      <c r="O14" s="2"/>
      <c r="P14" s="24">
        <f t="shared" si="5"/>
        <v>-0.05840118393</v>
      </c>
      <c r="Q14" s="2"/>
      <c r="R14" s="24">
        <f t="shared" si="1"/>
        <v>0.1414131516</v>
      </c>
      <c r="S14" s="2"/>
      <c r="T14" s="2"/>
      <c r="U14" s="2"/>
      <c r="V14" s="2"/>
      <c r="W14" s="2"/>
      <c r="X14" s="3"/>
      <c r="Y14" s="2"/>
      <c r="Z14" s="36">
        <v>1470.0</v>
      </c>
      <c r="AA14" s="2"/>
      <c r="AB14" s="2"/>
      <c r="AC14" s="6">
        <v>13.0</v>
      </c>
      <c r="AD14" s="41" t="str">
        <f t="shared" si="6"/>
        <v>Oracle Corp</v>
      </c>
      <c r="AE14" s="6" t="s">
        <v>16</v>
      </c>
      <c r="AF14" s="24">
        <f t="shared" si="3"/>
        <v>0.1414131516</v>
      </c>
      <c r="AG14" s="2"/>
      <c r="AH14" s="2"/>
      <c r="AI14" s="2"/>
      <c r="AJ14" s="2"/>
      <c r="AK14" s="2"/>
      <c r="AL14" s="2"/>
    </row>
    <row r="15">
      <c r="A15" s="35">
        <v>10.0</v>
      </c>
      <c r="B15" s="6">
        <v>10.0</v>
      </c>
      <c r="C15" s="2"/>
      <c r="D15" s="2" t="str">
        <f>IFERROR(__xludf.DUMMYFUNCTION("GOOGLEFINANCE(""OXY"",""name"")"),"Occidental Petroleum Corp")</f>
        <v>Occidental Petroleum Corp</v>
      </c>
      <c r="E15" s="6"/>
      <c r="F15" s="6" t="s">
        <v>23</v>
      </c>
      <c r="G15" s="20"/>
      <c r="H15" s="20">
        <v>59.97</v>
      </c>
      <c r="I15" s="20"/>
      <c r="J15" s="20">
        <f>IFERROR(__xludf.DUMMYFUNCTION("GOOGLEFINANCE($F15)"),57.97)</f>
        <v>57.97</v>
      </c>
      <c r="K15" s="22"/>
      <c r="L15" s="22">
        <f t="shared" si="4"/>
        <v>860854.5</v>
      </c>
      <c r="M15" s="2"/>
      <c r="N15" s="22">
        <f>L15-B15*H15*Z18</f>
        <v>61520.367</v>
      </c>
      <c r="O15" s="24"/>
      <c r="P15" s="24">
        <f t="shared" si="5"/>
        <v>0.07696451892</v>
      </c>
      <c r="Q15" s="24"/>
      <c r="R15" s="24">
        <f t="shared" si="1"/>
        <v>0.003013454552</v>
      </c>
      <c r="S15" s="2"/>
      <c r="T15" s="2"/>
      <c r="U15" s="2"/>
      <c r="V15" s="2"/>
      <c r="W15" s="2"/>
      <c r="X15" s="3"/>
      <c r="Y15" s="2"/>
      <c r="Z15" s="36">
        <v>1471.0</v>
      </c>
      <c r="AA15" s="2"/>
      <c r="AB15" s="2"/>
      <c r="AC15" s="6">
        <v>10.0</v>
      </c>
      <c r="AD15" s="41" t="str">
        <f t="shared" si="6"/>
        <v>Occidental Petroleum Corp</v>
      </c>
      <c r="AE15" s="6" t="s">
        <v>16</v>
      </c>
      <c r="AF15" s="24">
        <f t="shared" si="3"/>
        <v>0.003013454552</v>
      </c>
      <c r="AG15" s="2"/>
      <c r="AH15" s="2"/>
      <c r="AI15" s="2"/>
      <c r="AJ15" s="2"/>
      <c r="AK15" s="2"/>
      <c r="AL15" s="2"/>
    </row>
    <row r="16">
      <c r="A16" s="35">
        <v>11.0</v>
      </c>
      <c r="B16" s="6">
        <v>60.0</v>
      </c>
      <c r="C16" s="2"/>
      <c r="D16" s="2" t="str">
        <f>IFERROR(__xludf.DUMMYFUNCTION("GOOGLEFINANCE(""ADBE"",""name"")"),"Adobe Inc")</f>
        <v>Adobe Inc</v>
      </c>
      <c r="E16" s="2"/>
      <c r="F16" s="6" t="s">
        <v>24</v>
      </c>
      <c r="G16" s="2"/>
      <c r="H16" s="20">
        <v>294.53</v>
      </c>
      <c r="I16" s="2"/>
      <c r="J16" s="20">
        <f>IFERROR(__xludf.DUMMYFUNCTION("GOOGLEFINANCE($F16)"),225.35)</f>
        <v>225.35</v>
      </c>
      <c r="K16" s="2"/>
      <c r="L16" s="22">
        <f t="shared" si="4"/>
        <v>20078685</v>
      </c>
      <c r="M16" s="2"/>
      <c r="N16" s="22">
        <f>L16-B16*H16*Z15</f>
        <v>-5916532.8</v>
      </c>
      <c r="O16" s="2"/>
      <c r="P16" s="24">
        <f t="shared" si="5"/>
        <v>-0.2276008166</v>
      </c>
      <c r="Q16" s="2"/>
      <c r="R16" s="24">
        <f t="shared" si="1"/>
        <v>0.07028621528</v>
      </c>
      <c r="S16" s="2"/>
      <c r="T16" s="2"/>
      <c r="U16" s="2"/>
      <c r="V16" s="2"/>
      <c r="W16" s="2"/>
      <c r="X16" s="3"/>
      <c r="Y16" s="2"/>
      <c r="Z16" s="36">
        <v>1450.0</v>
      </c>
      <c r="AA16" s="2"/>
      <c r="AB16" s="2"/>
      <c r="AC16" s="6">
        <v>11.0</v>
      </c>
      <c r="AD16" s="41" t="str">
        <f t="shared" si="6"/>
        <v>Adobe Inc</v>
      </c>
      <c r="AE16" s="6" t="s">
        <v>16</v>
      </c>
      <c r="AF16" s="24">
        <f t="shared" si="3"/>
        <v>0.07028621528</v>
      </c>
      <c r="AG16" s="2"/>
      <c r="AH16" s="2"/>
      <c r="AI16" s="2"/>
      <c r="AJ16" s="2"/>
      <c r="AK16" s="2"/>
      <c r="AL16" s="2"/>
    </row>
    <row r="17">
      <c r="A17" s="35">
        <v>6.0</v>
      </c>
      <c r="B17" s="6">
        <v>1.0</v>
      </c>
      <c r="C17" s="2"/>
      <c r="D17" s="2" t="str">
        <f>IFERROR(__xludf.DUMMYFUNCTION("GOOGLEFINANCE(""SN"",""name"")"),"Sharkninja Inc")</f>
        <v>Sharkninja Inc</v>
      </c>
      <c r="E17" s="6"/>
      <c r="F17" s="6" t="s">
        <v>25</v>
      </c>
      <c r="G17" s="20"/>
      <c r="H17" s="20">
        <v>91.99</v>
      </c>
      <c r="I17" s="20"/>
      <c r="J17" s="20">
        <f>IFERROR(__xludf.DUMMYFUNCTION("GOOGLEFINANCE($F17)"),115.07)</f>
        <v>115.07</v>
      </c>
      <c r="K17" s="22"/>
      <c r="L17" s="22">
        <f t="shared" si="4"/>
        <v>170878.95</v>
      </c>
      <c r="M17" s="2"/>
      <c r="N17" s="22">
        <f>L17-B17*H17*Z17</f>
        <v>38965.29</v>
      </c>
      <c r="O17" s="24"/>
      <c r="P17" s="24">
        <f t="shared" si="5"/>
        <v>0.2953847994</v>
      </c>
      <c r="Q17" s="24"/>
      <c r="R17" s="24">
        <f t="shared" si="1"/>
        <v>0.0005981683894</v>
      </c>
      <c r="S17" s="2"/>
      <c r="T17" s="2"/>
      <c r="U17" s="2"/>
      <c r="V17" s="2"/>
      <c r="W17" s="2"/>
      <c r="X17" s="3"/>
      <c r="Y17" s="2"/>
      <c r="Z17" s="36">
        <v>1434.0</v>
      </c>
      <c r="AA17" s="2"/>
      <c r="AB17" s="2"/>
      <c r="AC17" s="6">
        <v>6.0</v>
      </c>
      <c r="AD17" s="41" t="str">
        <f t="shared" ref="AD17:AD20" si="7">VLOOKUP(AC17,$A$10:$R$23,4,0)</f>
        <v>Sharkninja Inc</v>
      </c>
      <c r="AE17" s="6" t="s">
        <v>16</v>
      </c>
      <c r="AF17" s="24">
        <f t="shared" si="3"/>
        <v>0.0005981683894</v>
      </c>
      <c r="AG17" s="2"/>
      <c r="AH17" s="2"/>
      <c r="AI17" s="2"/>
      <c r="AJ17" s="2"/>
      <c r="AK17" s="2"/>
      <c r="AL17" s="2"/>
    </row>
    <row r="18">
      <c r="A18" s="35">
        <v>4.0</v>
      </c>
      <c r="S18" s="2"/>
      <c r="T18" s="2"/>
      <c r="U18" s="2"/>
      <c r="V18" s="2"/>
      <c r="W18" s="2"/>
      <c r="X18" s="3"/>
      <c r="Y18" s="2"/>
      <c r="Z18" s="36">
        <v>1332.89</v>
      </c>
      <c r="AA18" s="2"/>
      <c r="AB18" s="2"/>
      <c r="AC18" s="6">
        <v>4.0</v>
      </c>
      <c r="AD18" s="41" t="str">
        <f t="shared" si="7"/>
        <v/>
      </c>
      <c r="AE18" s="6" t="s">
        <v>16</v>
      </c>
      <c r="AF18" s="24">
        <f t="shared" si="3"/>
        <v>0</v>
      </c>
      <c r="AG18" s="2"/>
      <c r="AH18" s="2"/>
      <c r="AI18" s="2"/>
      <c r="AJ18" s="2"/>
      <c r="AK18" s="2"/>
      <c r="AL18" s="2"/>
    </row>
    <row r="19">
      <c r="A19" s="35">
        <v>3.0</v>
      </c>
      <c r="B19" s="6">
        <v>1600.0</v>
      </c>
      <c r="C19" s="2"/>
      <c r="D19" s="2" t="str">
        <f>IFERROR(__xludf.DUMMYFUNCTION("GOOGLEFINANCE(""SMR"",""name"")"),"Nuscale Power Corp")</f>
        <v>Nuscale Power Corp</v>
      </c>
      <c r="E19" s="6"/>
      <c r="F19" s="6" t="s">
        <v>26</v>
      </c>
      <c r="G19" s="20"/>
      <c r="H19" s="20">
        <v>5.69</v>
      </c>
      <c r="I19" s="20"/>
      <c r="J19" s="20">
        <f>IFERROR(__xludf.DUMMYFUNCTION("GOOGLEFINANCE($F19)"),9.21)</f>
        <v>9.21</v>
      </c>
      <c r="K19" s="22"/>
      <c r="L19" s="22">
        <f t="shared" ref="L19:L21" si="8">B19*J19*$Y$4</f>
        <v>21882960</v>
      </c>
      <c r="M19" s="2"/>
      <c r="N19" s="22">
        <f t="shared" ref="N19:N21" si="9">L19-B19*H19*Z19</f>
        <v>9587552.8</v>
      </c>
      <c r="O19" s="24"/>
      <c r="P19" s="24">
        <f t="shared" ref="P19:P21" si="10">N19/(L19-N19)</f>
        <v>0.7797670011</v>
      </c>
      <c r="Q19" s="24"/>
      <c r="R19" s="24">
        <f t="shared" ref="R19:R21" si="11">L19/$L$9</f>
        <v>0.07660214987</v>
      </c>
      <c r="S19" s="2"/>
      <c r="T19" s="2"/>
      <c r="U19" s="2"/>
      <c r="V19" s="2"/>
      <c r="W19" s="2"/>
      <c r="X19" s="3"/>
      <c r="Y19" s="2"/>
      <c r="Z19" s="36">
        <v>1350.55</v>
      </c>
      <c r="AA19" s="2"/>
      <c r="AB19" s="2"/>
      <c r="AC19" s="6">
        <v>3.0</v>
      </c>
      <c r="AD19" s="41" t="str">
        <f t="shared" si="7"/>
        <v>Nuscale Power Corp</v>
      </c>
      <c r="AE19" s="6" t="s">
        <v>16</v>
      </c>
      <c r="AF19" s="24">
        <f t="shared" si="3"/>
        <v>0.07660214987</v>
      </c>
      <c r="AG19" s="2"/>
      <c r="AH19" s="2"/>
      <c r="AI19" s="2"/>
      <c r="AJ19" s="2"/>
      <c r="AK19" s="2"/>
      <c r="AL19" s="2"/>
    </row>
    <row r="20">
      <c r="A20" s="35">
        <v>5.0</v>
      </c>
      <c r="B20" s="6">
        <v>1754.0</v>
      </c>
      <c r="C20" s="2"/>
      <c r="D20" s="2" t="str">
        <f>IFERROR(__xludf.DUMMYFUNCTION("GOOGLEFINANCE(""WBTN"",""name"")"),"Webtoon Entertainment Inc")</f>
        <v>Webtoon Entertainment Inc</v>
      </c>
      <c r="E20" s="6"/>
      <c r="F20" s="6" t="s">
        <v>27</v>
      </c>
      <c r="G20" s="20"/>
      <c r="H20" s="20">
        <v>16.66</v>
      </c>
      <c r="I20" s="20"/>
      <c r="J20" s="20">
        <f>IFERROR(__xludf.DUMMYFUNCTION("GOOGLEFINANCE($F20)"),11.12)</f>
        <v>11.12</v>
      </c>
      <c r="K20" s="22"/>
      <c r="L20" s="22">
        <f t="shared" si="8"/>
        <v>28964152.8</v>
      </c>
      <c r="M20" s="2"/>
      <c r="N20" s="22">
        <f t="shared" si="9"/>
        <v>-11374860.14</v>
      </c>
      <c r="O20" s="24"/>
      <c r="P20" s="24">
        <f t="shared" si="10"/>
        <v>-0.281981618</v>
      </c>
      <c r="Q20" s="24"/>
      <c r="R20" s="24">
        <f t="shared" si="11"/>
        <v>0.1013901398</v>
      </c>
      <c r="S20" s="2"/>
      <c r="T20" s="2"/>
      <c r="U20" s="2"/>
      <c r="V20" s="2"/>
      <c r="W20" s="2"/>
      <c r="X20" s="3"/>
      <c r="Y20" s="2"/>
      <c r="Z20" s="36">
        <v>1380.45</v>
      </c>
      <c r="AA20" s="2"/>
      <c r="AB20" s="2"/>
      <c r="AC20" s="6">
        <v>5.0</v>
      </c>
      <c r="AD20" s="41" t="str">
        <f t="shared" si="7"/>
        <v>Webtoon Entertainment Inc</v>
      </c>
      <c r="AE20" s="6" t="s">
        <v>16</v>
      </c>
      <c r="AF20" s="24">
        <f t="shared" si="3"/>
        <v>0.1013901398</v>
      </c>
      <c r="AG20" s="2"/>
      <c r="AH20" s="2"/>
      <c r="AI20" s="2"/>
      <c r="AJ20" s="2"/>
      <c r="AK20" s="2"/>
      <c r="AL20" s="2"/>
    </row>
    <row r="21">
      <c r="A21" s="35">
        <v>12.0</v>
      </c>
      <c r="B21" s="6">
        <v>876.0</v>
      </c>
      <c r="C21" s="2"/>
      <c r="D21" s="2" t="str">
        <f>IFERROR(__xludf.DUMMYFUNCTION("GOOGLEFINANCE(""DMRC"",""name"")"),"Digimarc Corp")</f>
        <v>Digimarc Corp</v>
      </c>
      <c r="E21" s="2"/>
      <c r="F21" s="6" t="s">
        <v>28</v>
      </c>
      <c r="G21" s="2"/>
      <c r="H21" s="20">
        <v>6.16</v>
      </c>
      <c r="I21" s="2"/>
      <c r="J21" s="20">
        <f>IFERROR(__xludf.DUMMYFUNCTION("GOOGLEFINANCE($F21)"),5.65)</f>
        <v>5.65</v>
      </c>
      <c r="K21" s="2"/>
      <c r="L21" s="22">
        <f t="shared" si="8"/>
        <v>7349859</v>
      </c>
      <c r="M21" s="2"/>
      <c r="N21" s="22">
        <f t="shared" si="9"/>
        <v>-436799.88</v>
      </c>
      <c r="O21" s="2"/>
      <c r="P21" s="24">
        <f t="shared" si="10"/>
        <v>-0.0560959311</v>
      </c>
      <c r="Q21" s="2"/>
      <c r="R21" s="24">
        <f t="shared" si="11"/>
        <v>0.02572846638</v>
      </c>
      <c r="S21" s="2"/>
      <c r="T21" s="2"/>
      <c r="U21" s="2"/>
      <c r="V21" s="2"/>
      <c r="W21" s="2"/>
      <c r="X21" s="3"/>
      <c r="Y21" s="2"/>
      <c r="Z21" s="36">
        <v>1443.0</v>
      </c>
      <c r="AA21" s="2"/>
      <c r="AB21" s="2"/>
      <c r="AC21" s="6">
        <v>12.0</v>
      </c>
      <c r="AD21" s="41" t="str">
        <f t="shared" ref="AD21:AD23" si="12">VLOOKUP(AC21,$A$11:$R$23,4,0)</f>
        <v>Digimarc Corp</v>
      </c>
      <c r="AE21" s="6" t="s">
        <v>16</v>
      </c>
      <c r="AF21" s="24">
        <f t="shared" si="3"/>
        <v>0.02572846638</v>
      </c>
      <c r="AG21" s="2"/>
      <c r="AH21" s="2"/>
      <c r="AI21" s="2"/>
      <c r="AJ21" s="2"/>
      <c r="AK21" s="2"/>
      <c r="AL21" s="2"/>
    </row>
    <row r="22">
      <c r="A22" s="35">
        <v>7.0</v>
      </c>
      <c r="B22" s="6"/>
      <c r="C22" s="2"/>
      <c r="D22" s="6"/>
      <c r="E22" s="2"/>
      <c r="F22" s="6"/>
      <c r="G22" s="2"/>
      <c r="H22" s="20"/>
      <c r="I22" s="2"/>
      <c r="J22" s="20"/>
      <c r="K22" s="2"/>
      <c r="L22" s="22"/>
      <c r="M22" s="2"/>
      <c r="N22" s="2"/>
      <c r="O22" s="2"/>
      <c r="P22" s="24"/>
      <c r="Q22" s="2"/>
      <c r="R22" s="24"/>
      <c r="S22" s="2"/>
      <c r="T22" s="42"/>
      <c r="U22" s="2"/>
      <c r="V22" s="2"/>
      <c r="W22" s="2"/>
      <c r="X22" s="3"/>
      <c r="Y22" s="2"/>
      <c r="Z22" s="36">
        <v>1381.51</v>
      </c>
      <c r="AA22" s="2"/>
      <c r="AB22" s="2"/>
      <c r="AC22" s="6">
        <v>7.0</v>
      </c>
      <c r="AD22" s="41" t="str">
        <f t="shared" si="12"/>
        <v/>
      </c>
      <c r="AE22" s="6" t="s">
        <v>16</v>
      </c>
      <c r="AF22" s="24">
        <f t="shared" si="3"/>
        <v>0</v>
      </c>
      <c r="AG22" s="2"/>
      <c r="AH22" s="2"/>
      <c r="AI22" s="2"/>
      <c r="AJ22" s="2"/>
      <c r="AK22" s="2"/>
      <c r="AL22" s="2"/>
    </row>
    <row r="23">
      <c r="A23" s="35">
        <v>8.0</v>
      </c>
      <c r="B23" s="6"/>
      <c r="C23" s="2"/>
      <c r="D23" s="2"/>
      <c r="E23" s="6"/>
      <c r="F23" s="6"/>
      <c r="G23" s="2"/>
      <c r="H23" s="20"/>
      <c r="I23" s="2"/>
      <c r="J23" s="20"/>
      <c r="K23" s="2"/>
      <c r="L23" s="22"/>
      <c r="M23" s="2"/>
      <c r="N23" s="2"/>
      <c r="O23" s="2"/>
      <c r="P23" s="24"/>
      <c r="Q23" s="2"/>
      <c r="R23" s="24"/>
      <c r="S23" s="2"/>
      <c r="T23" s="2"/>
      <c r="U23" s="2"/>
      <c r="V23" s="2"/>
      <c r="W23" s="2"/>
      <c r="X23" s="3"/>
      <c r="Y23" s="2"/>
      <c r="Z23" s="36">
        <v>1380.69</v>
      </c>
      <c r="AA23" s="2"/>
      <c r="AB23" s="2"/>
      <c r="AC23" s="6">
        <v>8.0</v>
      </c>
      <c r="AD23" s="41" t="str">
        <f t="shared" si="12"/>
        <v/>
      </c>
      <c r="AE23" s="6" t="s">
        <v>16</v>
      </c>
      <c r="AF23" s="24">
        <f t="shared" si="3"/>
        <v>0</v>
      </c>
      <c r="AG23" s="2"/>
      <c r="AH23" s="2"/>
      <c r="AI23" s="2"/>
      <c r="AJ23" s="2"/>
      <c r="AK23" s="2"/>
      <c r="AL23" s="2"/>
    </row>
    <row r="24">
      <c r="A24" s="1"/>
      <c r="B24" s="2"/>
      <c r="C24" s="2"/>
      <c r="D24" s="2"/>
      <c r="E24" s="2"/>
      <c r="F24" s="2"/>
      <c r="G24" s="2"/>
      <c r="H24" s="2"/>
      <c r="I24" s="2"/>
      <c r="J24" s="2"/>
      <c r="K24" s="2"/>
      <c r="L24" s="2"/>
      <c r="M24" s="2"/>
      <c r="O24" s="2"/>
      <c r="P24" s="2"/>
      <c r="Q24" s="2"/>
      <c r="R24" s="2"/>
      <c r="S24" s="2"/>
      <c r="T24" s="2"/>
      <c r="U24" s="2"/>
      <c r="V24" s="2"/>
      <c r="W24" s="2"/>
      <c r="X24" s="3"/>
      <c r="Y24" s="2"/>
      <c r="Z24" s="39"/>
      <c r="AA24" s="39"/>
      <c r="AB24" s="39"/>
      <c r="AC24" s="2"/>
      <c r="AD24" s="2"/>
      <c r="AE24" s="2"/>
      <c r="AF24" s="2"/>
      <c r="AG24" s="2"/>
      <c r="AH24" s="2"/>
      <c r="AI24" s="2"/>
      <c r="AJ24" s="2"/>
      <c r="AK24" s="2"/>
      <c r="AL24" s="2"/>
    </row>
    <row r="25">
      <c r="A25" s="1"/>
      <c r="B25" s="2"/>
      <c r="C25" s="2"/>
      <c r="D25" s="2"/>
      <c r="E25" s="2"/>
      <c r="F25" s="2"/>
      <c r="G25" s="2"/>
      <c r="H25" s="2"/>
      <c r="I25" s="2"/>
      <c r="J25" s="2"/>
      <c r="K25" s="2"/>
      <c r="L25" s="2"/>
      <c r="M25" s="2"/>
      <c r="N25" s="2"/>
      <c r="O25" s="2"/>
      <c r="P25" s="2"/>
      <c r="Q25" s="2"/>
      <c r="R25" s="2"/>
      <c r="S25" s="2"/>
      <c r="T25" s="2"/>
      <c r="U25" s="2"/>
      <c r="V25" s="2"/>
      <c r="W25" s="2"/>
      <c r="X25" s="3"/>
      <c r="Y25" s="2"/>
      <c r="Z25" s="39"/>
      <c r="AA25" s="39"/>
      <c r="AB25" s="39"/>
      <c r="AC25" s="2"/>
      <c r="AD25" s="2"/>
      <c r="AE25" s="2"/>
      <c r="AF25" s="2"/>
      <c r="AG25" s="2"/>
      <c r="AH25" s="2"/>
      <c r="AI25" s="2"/>
      <c r="AJ25" s="2"/>
      <c r="AK25" s="2"/>
      <c r="AL25" s="2"/>
    </row>
    <row r="26">
      <c r="A26" s="1"/>
      <c r="B26" s="2"/>
      <c r="C26" s="2"/>
      <c r="D26" s="2"/>
      <c r="E26" s="2"/>
      <c r="F26" s="2"/>
      <c r="G26" s="2"/>
      <c r="H26" s="2"/>
      <c r="I26" s="2"/>
      <c r="J26" s="2"/>
      <c r="K26" s="2"/>
      <c r="L26" s="2"/>
      <c r="M26" s="2"/>
      <c r="N26" s="2"/>
      <c r="O26" s="2"/>
      <c r="P26" s="2"/>
      <c r="Q26" s="2"/>
      <c r="R26" s="2"/>
      <c r="S26" s="2"/>
      <c r="T26" s="2"/>
      <c r="U26" s="2"/>
      <c r="V26" s="2"/>
      <c r="W26" s="2"/>
      <c r="X26" s="3"/>
      <c r="Y26" s="2"/>
      <c r="Z26" s="39"/>
      <c r="AA26" s="39"/>
      <c r="AB26" s="39"/>
      <c r="AC26" s="2"/>
      <c r="AD26" s="2"/>
      <c r="AE26" s="2"/>
      <c r="AF26" s="2"/>
      <c r="AG26" s="2"/>
      <c r="AH26" s="2"/>
      <c r="AI26" s="2"/>
      <c r="AJ26" s="2"/>
      <c r="AK26" s="2"/>
      <c r="AL26" s="2"/>
    </row>
    <row r="27">
      <c r="A27" s="1"/>
      <c r="B27" s="2"/>
      <c r="C27" s="2"/>
      <c r="D27" s="2"/>
      <c r="E27" s="2"/>
      <c r="F27" s="2"/>
      <c r="G27" s="2"/>
      <c r="H27" s="2"/>
      <c r="I27" s="2"/>
      <c r="J27" s="2"/>
      <c r="K27" s="2"/>
      <c r="L27" s="2"/>
      <c r="M27" s="2"/>
      <c r="N27" s="2"/>
      <c r="O27" s="2"/>
      <c r="P27" s="2"/>
      <c r="Q27" s="2"/>
      <c r="R27" s="2"/>
      <c r="S27" s="2"/>
      <c r="T27" s="2"/>
      <c r="U27" s="2"/>
      <c r="V27" s="2"/>
      <c r="W27" s="2"/>
      <c r="X27" s="3"/>
      <c r="Y27" s="2"/>
      <c r="Z27" s="39"/>
      <c r="AA27" s="39"/>
      <c r="AB27" s="39"/>
      <c r="AC27" s="2"/>
      <c r="AD27" s="2"/>
      <c r="AE27" s="2"/>
      <c r="AF27" s="2"/>
      <c r="AG27" s="2"/>
      <c r="AH27" s="2"/>
      <c r="AI27" s="2"/>
      <c r="AJ27" s="2"/>
      <c r="AK27" s="2"/>
      <c r="AL27" s="2"/>
    </row>
    <row r="28" ht="17.25" customHeight="1">
      <c r="A28" s="1"/>
      <c r="B28" s="2"/>
      <c r="C28" s="2"/>
      <c r="D28" s="2"/>
      <c r="E28" s="2"/>
      <c r="F28" s="2"/>
      <c r="G28" s="2"/>
      <c r="H28" s="2"/>
      <c r="I28" s="2"/>
      <c r="J28" s="2"/>
      <c r="K28" s="2"/>
      <c r="L28" s="2"/>
      <c r="M28" s="2"/>
      <c r="N28" s="2"/>
      <c r="O28" s="2"/>
      <c r="P28" s="2"/>
      <c r="Q28" s="2"/>
      <c r="R28" s="2"/>
      <c r="S28" s="2"/>
      <c r="T28" s="2"/>
      <c r="U28" s="2"/>
      <c r="V28" s="2"/>
      <c r="W28" s="2"/>
      <c r="X28" s="3"/>
      <c r="Y28" s="2"/>
      <c r="Z28" s="39" t="s">
        <v>29</v>
      </c>
      <c r="AA28" s="39" t="s">
        <v>30</v>
      </c>
      <c r="AB28" s="39" t="s">
        <v>31</v>
      </c>
      <c r="AC28" s="2"/>
      <c r="AD28" s="2"/>
      <c r="AE28" s="2"/>
      <c r="AF28" s="2"/>
      <c r="AG28" s="2"/>
      <c r="AH28" s="2"/>
      <c r="AI28" s="2"/>
      <c r="AJ28" s="2"/>
      <c r="AK28" s="2"/>
      <c r="AL28" s="2"/>
    </row>
    <row r="29">
      <c r="A29" s="1"/>
      <c r="B29" s="2"/>
      <c r="C29" s="2"/>
      <c r="D29" s="2"/>
      <c r="E29" s="2"/>
      <c r="F29" s="2"/>
      <c r="G29" s="2"/>
      <c r="H29" s="2"/>
      <c r="I29" s="2"/>
      <c r="J29" s="2"/>
      <c r="K29" s="2"/>
      <c r="L29" s="2"/>
      <c r="M29" s="2"/>
      <c r="N29" s="2"/>
      <c r="O29" s="2"/>
      <c r="P29" s="2"/>
      <c r="Q29" s="2"/>
      <c r="R29" s="2"/>
      <c r="S29" s="2"/>
      <c r="T29" s="2"/>
      <c r="U29" s="2"/>
      <c r="V29" s="2"/>
      <c r="W29" s="2"/>
      <c r="X29" s="3"/>
      <c r="Y29" s="39" t="s">
        <v>32</v>
      </c>
      <c r="Z29" s="20">
        <f>2.9831/3</f>
        <v>0.9943666667</v>
      </c>
      <c r="AA29" s="42" t="str">
        <f>Z29/J22</f>
        <v>#DIV/0!</v>
      </c>
      <c r="AB29" s="43" t="str">
        <f>Z29/H22</f>
        <v>#DIV/0!</v>
      </c>
      <c r="AC29" s="2"/>
      <c r="AD29" s="2"/>
      <c r="AE29" s="2"/>
      <c r="AF29" s="2"/>
      <c r="AG29" s="2"/>
      <c r="AH29" s="2"/>
      <c r="AI29" s="2"/>
      <c r="AJ29" s="2"/>
      <c r="AK29" s="2"/>
      <c r="AL29" s="2"/>
    </row>
    <row r="30">
      <c r="A30" s="1"/>
      <c r="B30" s="2"/>
      <c r="C30" s="2"/>
      <c r="D30" s="2"/>
      <c r="E30" s="2"/>
      <c r="F30" s="2"/>
      <c r="G30" s="2"/>
      <c r="H30" s="2"/>
      <c r="I30" s="2"/>
      <c r="J30" s="2"/>
      <c r="K30" s="2"/>
      <c r="L30" s="2"/>
      <c r="M30" s="2"/>
      <c r="N30" s="2"/>
      <c r="O30" s="2"/>
      <c r="P30" s="2"/>
      <c r="Q30" s="2"/>
      <c r="R30" s="2"/>
      <c r="S30" s="2"/>
      <c r="T30" s="2"/>
      <c r="U30" s="2"/>
      <c r="V30" s="2"/>
      <c r="W30" s="2"/>
      <c r="X30" s="3"/>
      <c r="Y30" s="39" t="s">
        <v>33</v>
      </c>
      <c r="Z30" s="20">
        <v>1.04</v>
      </c>
      <c r="AA30" s="42" t="str">
        <f>Z30/J22</f>
        <v>#DIV/0!</v>
      </c>
      <c r="AB30" s="43" t="str">
        <f>Z30/H22</f>
        <v>#DIV/0!</v>
      </c>
      <c r="AC30" s="2"/>
      <c r="AD30" s="2"/>
      <c r="AE30" s="2"/>
      <c r="AF30" s="2"/>
      <c r="AG30" s="2"/>
      <c r="AH30" s="2"/>
      <c r="AI30" s="2"/>
      <c r="AJ30" s="2"/>
      <c r="AK30" s="2"/>
      <c r="AL30" s="2"/>
    </row>
    <row r="31">
      <c r="A31" s="1"/>
      <c r="B31" s="2"/>
      <c r="C31" s="2"/>
      <c r="D31" s="2"/>
      <c r="E31" s="2"/>
      <c r="F31" s="2"/>
      <c r="G31" s="2"/>
      <c r="H31" s="2"/>
      <c r="I31" s="2"/>
      <c r="J31" s="2"/>
      <c r="K31" s="2"/>
      <c r="L31" s="2"/>
      <c r="M31" s="2"/>
      <c r="N31" s="2"/>
      <c r="O31" s="2"/>
      <c r="P31" s="2"/>
      <c r="Q31" s="2"/>
      <c r="R31" s="2"/>
      <c r="S31" s="2"/>
      <c r="T31" s="2"/>
      <c r="U31" s="2"/>
      <c r="V31" s="2"/>
      <c r="W31" s="2"/>
      <c r="X31" s="3"/>
      <c r="Y31" s="2"/>
      <c r="Z31" s="2"/>
      <c r="AA31" s="6"/>
      <c r="AB31" s="2"/>
      <c r="AC31" s="2"/>
      <c r="AD31" s="2"/>
      <c r="AE31" s="2"/>
      <c r="AF31" s="2"/>
      <c r="AG31" s="2"/>
      <c r="AH31" s="2"/>
      <c r="AI31" s="2"/>
      <c r="AJ31" s="2"/>
      <c r="AK31" s="2"/>
      <c r="AL31" s="2"/>
    </row>
    <row r="32">
      <c r="A32" s="1"/>
      <c r="B32" s="2"/>
      <c r="C32" s="2"/>
      <c r="D32" s="2"/>
      <c r="E32" s="2"/>
      <c r="F32" s="2"/>
      <c r="G32" s="2"/>
      <c r="H32" s="2"/>
      <c r="I32" s="2"/>
      <c r="J32" s="2"/>
      <c r="K32" s="2"/>
      <c r="L32" s="2"/>
      <c r="M32" s="2"/>
      <c r="N32" s="2"/>
      <c r="O32" s="2"/>
      <c r="P32" s="2"/>
      <c r="Q32" s="2"/>
      <c r="R32" s="2"/>
      <c r="S32" s="2"/>
      <c r="T32" s="2"/>
      <c r="U32" s="2"/>
      <c r="V32" s="2"/>
      <c r="W32" s="2"/>
      <c r="X32" s="3"/>
      <c r="Y32" s="2"/>
      <c r="Z32" s="2"/>
      <c r="AA32" s="2"/>
      <c r="AB32" s="2"/>
      <c r="AC32" s="2"/>
      <c r="AD32" s="2"/>
      <c r="AE32" s="2"/>
      <c r="AF32" s="2"/>
      <c r="AG32" s="2"/>
      <c r="AH32" s="2"/>
      <c r="AI32" s="2"/>
      <c r="AJ32" s="2"/>
      <c r="AK32" s="2"/>
      <c r="AL32" s="2"/>
    </row>
    <row r="33">
      <c r="A33" s="1"/>
      <c r="B33" s="2"/>
      <c r="C33" s="2"/>
      <c r="D33" s="2"/>
      <c r="E33" s="2"/>
      <c r="F33" s="2"/>
      <c r="G33" s="2"/>
      <c r="H33" s="2"/>
      <c r="I33" s="2"/>
      <c r="J33" s="2"/>
      <c r="K33" s="2"/>
      <c r="L33" s="2"/>
      <c r="M33" s="2"/>
      <c r="N33" s="2"/>
      <c r="O33" s="2"/>
      <c r="P33" s="2"/>
      <c r="Q33" s="2"/>
      <c r="R33" s="2"/>
      <c r="S33" s="2"/>
      <c r="T33" s="2"/>
      <c r="U33" s="2"/>
      <c r="V33" s="2"/>
      <c r="W33" s="2"/>
      <c r="X33" s="3"/>
      <c r="Y33" s="2"/>
      <c r="Z33" s="2"/>
      <c r="AA33" s="2"/>
      <c r="AB33" s="2"/>
      <c r="AC33" s="2"/>
      <c r="AD33" s="2"/>
      <c r="AE33" s="2"/>
      <c r="AF33" s="2"/>
      <c r="AG33" s="2"/>
      <c r="AH33" s="2"/>
      <c r="AI33" s="2"/>
      <c r="AJ33" s="2"/>
      <c r="AK33" s="2"/>
      <c r="AL33" s="2"/>
    </row>
    <row r="34">
      <c r="A34" s="1"/>
      <c r="B34" s="2"/>
      <c r="C34" s="2"/>
      <c r="D34" s="2"/>
      <c r="E34" s="2"/>
      <c r="F34" s="2"/>
      <c r="G34" s="2"/>
      <c r="H34" s="2"/>
      <c r="I34" s="2"/>
      <c r="J34" s="2"/>
      <c r="K34" s="2"/>
      <c r="L34" s="2"/>
      <c r="M34" s="2"/>
      <c r="N34" s="2"/>
      <c r="O34" s="2"/>
      <c r="P34" s="2"/>
      <c r="Q34" s="2"/>
      <c r="R34" s="2"/>
      <c r="S34" s="2"/>
      <c r="T34" s="6" t="s">
        <v>34</v>
      </c>
      <c r="U34" s="2"/>
      <c r="V34" s="2"/>
      <c r="W34" s="2"/>
      <c r="X34" s="3"/>
      <c r="Y34" s="2"/>
      <c r="Z34" s="2"/>
      <c r="AA34" s="2"/>
      <c r="AB34" s="2"/>
      <c r="AC34" s="2"/>
      <c r="AD34" s="2"/>
      <c r="AE34" s="2"/>
      <c r="AF34" s="2"/>
      <c r="AG34" s="2"/>
      <c r="AH34" s="2"/>
      <c r="AI34" s="2"/>
      <c r="AJ34" s="2"/>
      <c r="AK34" s="2"/>
      <c r="AL34" s="2"/>
    </row>
    <row r="35">
      <c r="A35" s="1"/>
      <c r="B35" s="2"/>
      <c r="C35" s="2"/>
      <c r="D35" s="2"/>
      <c r="E35" s="2"/>
      <c r="F35" s="2"/>
      <c r="G35" s="2"/>
      <c r="H35" s="2"/>
      <c r="I35" s="2"/>
      <c r="J35" s="2"/>
      <c r="K35" s="2"/>
      <c r="L35" s="2"/>
      <c r="M35" s="2"/>
      <c r="N35" s="2"/>
      <c r="O35" s="2"/>
      <c r="P35" s="2"/>
      <c r="Q35" s="2"/>
      <c r="R35" s="2"/>
      <c r="S35" s="2"/>
      <c r="T35" s="2"/>
      <c r="U35" s="2"/>
      <c r="V35" s="2"/>
      <c r="W35" s="2"/>
      <c r="X35" s="3"/>
      <c r="Y35" s="2"/>
      <c r="Z35" s="2"/>
      <c r="AA35" s="2"/>
      <c r="AB35" s="2"/>
      <c r="AC35" s="2"/>
      <c r="AD35" s="2"/>
      <c r="AE35" s="2"/>
      <c r="AF35" s="2"/>
      <c r="AG35" s="2"/>
      <c r="AH35" s="2"/>
      <c r="AI35" s="2"/>
      <c r="AJ35" s="2"/>
      <c r="AK35" s="2"/>
      <c r="AL35" s="2"/>
    </row>
    <row r="36">
      <c r="A36" s="1"/>
      <c r="B36" s="2"/>
      <c r="C36" s="2"/>
      <c r="D36" s="2"/>
      <c r="E36" s="2"/>
      <c r="F36" s="2"/>
      <c r="G36" s="2"/>
      <c r="H36" s="2"/>
      <c r="I36" s="2"/>
      <c r="J36" s="2"/>
      <c r="K36" s="2"/>
      <c r="L36" s="2"/>
      <c r="M36" s="2"/>
      <c r="N36" s="2"/>
      <c r="O36" s="2"/>
      <c r="P36" s="2"/>
      <c r="Q36" s="2"/>
      <c r="R36" s="2"/>
      <c r="S36" s="2"/>
      <c r="T36" s="2"/>
      <c r="U36" s="2"/>
      <c r="V36" s="2"/>
      <c r="W36" s="2"/>
      <c r="X36" s="3"/>
      <c r="Y36" s="2"/>
      <c r="Z36" s="2"/>
      <c r="AA36" s="2"/>
      <c r="AB36" s="2"/>
      <c r="AC36" s="2"/>
      <c r="AD36" s="2"/>
      <c r="AE36" s="2"/>
      <c r="AF36" s="2"/>
      <c r="AG36" s="2"/>
      <c r="AH36" s="2"/>
      <c r="AI36" s="2"/>
      <c r="AJ36" s="2"/>
      <c r="AK36" s="2"/>
      <c r="AL36" s="2"/>
    </row>
    <row r="37">
      <c r="A37" s="1"/>
      <c r="B37" s="2"/>
      <c r="C37" s="2"/>
      <c r="D37" s="2"/>
      <c r="E37" s="2"/>
      <c r="F37" s="2"/>
      <c r="G37" s="2"/>
      <c r="H37" s="2"/>
      <c r="I37" s="2"/>
      <c r="J37" s="2"/>
      <c r="K37" s="2"/>
      <c r="L37" s="2"/>
      <c r="M37" s="2"/>
      <c r="N37" s="2"/>
      <c r="O37" s="2"/>
      <c r="P37" s="2"/>
      <c r="Q37" s="2"/>
      <c r="R37" s="2"/>
      <c r="S37" s="2"/>
      <c r="T37" s="2"/>
      <c r="U37" s="2"/>
      <c r="V37" s="2"/>
      <c r="W37" s="2"/>
      <c r="X37" s="3"/>
      <c r="Y37" s="2"/>
      <c r="Z37" s="2"/>
      <c r="AA37" s="2"/>
      <c r="AB37" s="2"/>
      <c r="AC37" s="2"/>
      <c r="AD37" s="2"/>
      <c r="AE37" s="2"/>
      <c r="AF37" s="2"/>
      <c r="AG37" s="2"/>
      <c r="AH37" s="2"/>
      <c r="AI37" s="2"/>
      <c r="AJ37" s="2"/>
      <c r="AK37" s="2"/>
      <c r="AL37" s="2"/>
    </row>
    <row r="38">
      <c r="A38" s="1"/>
      <c r="B38" s="2"/>
      <c r="C38" s="2"/>
      <c r="D38" s="2"/>
      <c r="E38" s="2"/>
      <c r="F38" s="2"/>
      <c r="G38" s="2"/>
      <c r="H38" s="2"/>
      <c r="I38" s="2"/>
      <c r="J38" s="2"/>
      <c r="K38" s="2"/>
      <c r="L38" s="2"/>
      <c r="M38" s="2"/>
      <c r="N38" s="2"/>
      <c r="O38" s="2"/>
      <c r="P38" s="2"/>
      <c r="Q38" s="2"/>
      <c r="R38" s="2"/>
      <c r="S38" s="2"/>
      <c r="T38" s="2"/>
      <c r="U38" s="2"/>
      <c r="V38" s="2"/>
      <c r="W38" s="2"/>
      <c r="X38" s="3"/>
      <c r="Y38" s="2"/>
      <c r="Z38" s="2"/>
      <c r="AA38" s="2"/>
      <c r="AB38" s="2"/>
      <c r="AC38" s="2"/>
      <c r="AD38" s="2"/>
      <c r="AE38" s="2"/>
      <c r="AF38" s="2"/>
      <c r="AG38" s="2"/>
      <c r="AH38" s="2"/>
      <c r="AI38" s="2"/>
      <c r="AJ38" s="2"/>
      <c r="AK38" s="2"/>
      <c r="AL38" s="2"/>
    </row>
    <row r="39">
      <c r="A39" s="1"/>
      <c r="B39" s="2"/>
      <c r="C39" s="2"/>
      <c r="D39" s="2"/>
      <c r="E39" s="2"/>
      <c r="F39" s="2"/>
      <c r="G39" s="2"/>
      <c r="H39" s="2"/>
      <c r="I39" s="2"/>
      <c r="J39" s="2"/>
      <c r="K39" s="2"/>
      <c r="L39" s="2"/>
      <c r="M39" s="2"/>
      <c r="N39" s="2"/>
      <c r="O39" s="2"/>
      <c r="P39" s="2"/>
      <c r="Q39" s="2"/>
      <c r="R39" s="2"/>
      <c r="S39" s="2"/>
      <c r="T39" s="2"/>
      <c r="U39" s="2"/>
      <c r="V39" s="2"/>
      <c r="W39" s="2"/>
      <c r="X39" s="3"/>
      <c r="Y39" s="2"/>
      <c r="Z39" s="2"/>
      <c r="AA39" s="2"/>
      <c r="AB39" s="2"/>
      <c r="AC39" s="2"/>
      <c r="AD39" s="2"/>
      <c r="AE39" s="2"/>
      <c r="AF39" s="2"/>
      <c r="AG39" s="2"/>
      <c r="AH39" s="2"/>
      <c r="AI39" s="2"/>
      <c r="AJ39" s="2"/>
      <c r="AK39" s="2"/>
      <c r="AL39" s="2"/>
    </row>
    <row r="40">
      <c r="A40" s="1"/>
      <c r="B40" s="2"/>
      <c r="C40" s="2"/>
      <c r="D40" s="2"/>
      <c r="E40" s="2"/>
      <c r="F40" s="2"/>
      <c r="G40" s="2"/>
      <c r="H40" s="2"/>
      <c r="I40" s="2"/>
      <c r="J40" s="2"/>
      <c r="K40" s="2"/>
      <c r="L40" s="2"/>
      <c r="M40" s="2"/>
      <c r="N40" s="2"/>
      <c r="O40" s="2"/>
      <c r="P40" s="2"/>
      <c r="Q40" s="2"/>
      <c r="R40" s="2"/>
      <c r="S40" s="2"/>
      <c r="T40" s="2"/>
      <c r="U40" s="2"/>
      <c r="V40" s="2"/>
      <c r="W40" s="2"/>
      <c r="X40" s="3"/>
      <c r="Y40" s="2"/>
      <c r="Z40" s="2"/>
      <c r="AA40" s="2"/>
      <c r="AB40" s="2"/>
      <c r="AC40" s="2"/>
      <c r="AD40" s="2"/>
      <c r="AE40" s="2"/>
      <c r="AF40" s="2"/>
      <c r="AG40" s="2"/>
      <c r="AH40" s="2"/>
      <c r="AI40" s="2"/>
      <c r="AJ40" s="2"/>
      <c r="AK40" s="2"/>
      <c r="AL40" s="2"/>
    </row>
    <row r="41">
      <c r="A41" s="1"/>
      <c r="B41" s="2"/>
      <c r="C41" s="2"/>
      <c r="D41" s="2"/>
      <c r="E41" s="2"/>
      <c r="F41" s="2"/>
      <c r="G41" s="2"/>
      <c r="H41" s="2"/>
      <c r="I41" s="2"/>
      <c r="J41" s="2"/>
      <c r="K41" s="2"/>
      <c r="L41" s="2"/>
      <c r="M41" s="2"/>
      <c r="N41" s="2"/>
      <c r="O41" s="2"/>
      <c r="P41" s="2"/>
      <c r="Q41" s="2"/>
      <c r="R41" s="2"/>
      <c r="S41" s="2"/>
      <c r="T41" s="2"/>
      <c r="U41" s="2"/>
      <c r="V41" s="2"/>
      <c r="W41" s="2"/>
      <c r="X41" s="3"/>
      <c r="Y41" s="2"/>
      <c r="Z41" s="2"/>
      <c r="AA41" s="2"/>
      <c r="AB41" s="2"/>
      <c r="AC41" s="2"/>
      <c r="AD41" s="2"/>
      <c r="AE41" s="2"/>
      <c r="AF41" s="2"/>
      <c r="AG41" s="2"/>
      <c r="AH41" s="2"/>
      <c r="AI41" s="2"/>
      <c r="AJ41" s="2"/>
      <c r="AK41" s="2"/>
      <c r="AL41" s="2"/>
    </row>
    <row r="42">
      <c r="A42" s="1"/>
      <c r="B42" s="2"/>
      <c r="C42" s="2"/>
      <c r="D42" s="2"/>
      <c r="E42" s="2"/>
      <c r="F42" s="2"/>
      <c r="G42" s="2"/>
      <c r="H42" s="2"/>
      <c r="I42" s="2"/>
      <c r="J42" s="2"/>
      <c r="K42" s="2"/>
      <c r="L42" s="2"/>
      <c r="M42" s="2"/>
      <c r="N42" s="2"/>
      <c r="O42" s="2"/>
      <c r="P42" s="2"/>
      <c r="Q42" s="2"/>
      <c r="R42" s="2"/>
      <c r="S42" s="2"/>
      <c r="T42" s="2"/>
      <c r="U42" s="2"/>
      <c r="V42" s="2"/>
      <c r="W42" s="2"/>
      <c r="X42" s="3"/>
      <c r="Y42" s="2"/>
      <c r="Z42" s="2"/>
      <c r="AA42" s="2"/>
      <c r="AB42" s="2"/>
      <c r="AC42" s="2"/>
      <c r="AD42" s="2"/>
      <c r="AE42" s="2"/>
      <c r="AF42" s="2"/>
      <c r="AG42" s="2"/>
      <c r="AH42" s="2"/>
      <c r="AI42" s="2"/>
      <c r="AJ42" s="2"/>
      <c r="AK42" s="2"/>
      <c r="AL42" s="2"/>
    </row>
    <row r="43">
      <c r="A43" s="1"/>
      <c r="B43" s="2"/>
      <c r="C43" s="2"/>
      <c r="D43" s="2"/>
      <c r="E43" s="2"/>
      <c r="F43" s="2"/>
      <c r="G43" s="2"/>
      <c r="H43" s="2"/>
      <c r="I43" s="2"/>
      <c r="J43" s="2"/>
      <c r="K43" s="2"/>
      <c r="L43" s="2"/>
      <c r="M43" s="2"/>
      <c r="N43" s="2"/>
      <c r="O43" s="2"/>
      <c r="P43" s="2"/>
      <c r="Q43" s="2"/>
      <c r="R43" s="2"/>
      <c r="S43" s="2"/>
      <c r="T43" s="2"/>
      <c r="U43" s="2"/>
      <c r="V43" s="2"/>
      <c r="W43" s="2"/>
      <c r="X43" s="3"/>
      <c r="Y43" s="2"/>
      <c r="Z43" s="2"/>
      <c r="AA43" s="2"/>
      <c r="AB43" s="2"/>
      <c r="AC43" s="2"/>
      <c r="AD43" s="2"/>
      <c r="AE43" s="2"/>
      <c r="AF43" s="2"/>
      <c r="AG43" s="2"/>
      <c r="AH43" s="2"/>
      <c r="AI43" s="2"/>
      <c r="AJ43" s="2"/>
      <c r="AK43" s="2"/>
      <c r="AL43" s="2"/>
    </row>
    <row r="44">
      <c r="A44" s="1"/>
      <c r="B44" s="2"/>
      <c r="C44" s="2"/>
      <c r="D44" s="2"/>
      <c r="E44" s="2"/>
      <c r="F44" s="2"/>
      <c r="G44" s="2"/>
      <c r="H44" s="2"/>
      <c r="I44" s="2"/>
      <c r="J44" s="2"/>
      <c r="K44" s="2"/>
      <c r="L44" s="2"/>
      <c r="M44" s="2"/>
      <c r="N44" s="2"/>
      <c r="O44" s="2"/>
      <c r="P44" s="2"/>
      <c r="Q44" s="2"/>
      <c r="R44" s="2"/>
      <c r="S44" s="2"/>
      <c r="T44" s="2"/>
      <c r="U44" s="2"/>
      <c r="V44" s="2"/>
      <c r="W44" s="2"/>
      <c r="X44" s="3"/>
      <c r="Y44" s="2"/>
      <c r="Z44" s="2"/>
      <c r="AA44" s="2"/>
      <c r="AB44" s="2"/>
      <c r="AC44" s="2"/>
      <c r="AD44" s="2"/>
      <c r="AE44" s="2"/>
      <c r="AF44" s="2"/>
      <c r="AG44" s="2"/>
      <c r="AH44" s="2"/>
      <c r="AI44" s="2"/>
      <c r="AJ44" s="2"/>
      <c r="AK44" s="2"/>
      <c r="AL44" s="2"/>
    </row>
    <row r="45">
      <c r="A45" s="1"/>
      <c r="B45" s="2"/>
      <c r="C45" s="2"/>
      <c r="D45" s="2"/>
      <c r="E45" s="2"/>
      <c r="F45" s="2"/>
      <c r="G45" s="2"/>
      <c r="H45" s="2"/>
      <c r="I45" s="2"/>
      <c r="J45" s="2"/>
      <c r="K45" s="2"/>
      <c r="L45" s="2"/>
      <c r="M45" s="2"/>
      <c r="N45" s="2"/>
      <c r="O45" s="2"/>
      <c r="P45" s="2"/>
      <c r="Q45" s="2"/>
      <c r="R45" s="2"/>
      <c r="S45" s="2"/>
      <c r="T45" s="2"/>
      <c r="U45" s="2"/>
      <c r="V45" s="2"/>
      <c r="W45" s="2"/>
      <c r="X45" s="3"/>
      <c r="Y45" s="2"/>
      <c r="Z45" s="2"/>
      <c r="AA45" s="2"/>
      <c r="AB45" s="2"/>
      <c r="AC45" s="2"/>
      <c r="AD45" s="2"/>
      <c r="AE45" s="2"/>
      <c r="AF45" s="2"/>
      <c r="AG45" s="2"/>
      <c r="AH45" s="2"/>
      <c r="AI45" s="2"/>
      <c r="AJ45" s="2"/>
      <c r="AK45" s="2"/>
      <c r="AL45" s="2"/>
    </row>
    <row r="46">
      <c r="A46" s="1"/>
      <c r="B46" s="2"/>
      <c r="C46" s="2"/>
      <c r="D46" s="2"/>
      <c r="E46" s="2"/>
      <c r="F46" s="2"/>
      <c r="G46" s="2"/>
      <c r="H46" s="2"/>
      <c r="I46" s="2"/>
      <c r="J46" s="2"/>
      <c r="K46" s="2"/>
      <c r="L46" s="2"/>
      <c r="M46" s="2"/>
      <c r="N46" s="2"/>
      <c r="O46" s="2"/>
      <c r="P46" s="2"/>
      <c r="Q46" s="2"/>
      <c r="R46" s="2"/>
      <c r="S46" s="2"/>
      <c r="T46" s="2"/>
      <c r="U46" s="2"/>
      <c r="V46" s="2"/>
      <c r="W46" s="2"/>
      <c r="X46" s="3"/>
      <c r="Y46" s="2"/>
      <c r="Z46" s="2"/>
      <c r="AA46" s="2"/>
      <c r="AB46" s="2"/>
      <c r="AC46" s="2"/>
      <c r="AD46" s="2"/>
      <c r="AE46" s="2"/>
      <c r="AF46" s="2"/>
      <c r="AG46" s="2"/>
      <c r="AH46" s="2"/>
      <c r="AI46" s="2"/>
      <c r="AJ46" s="2"/>
      <c r="AK46" s="2"/>
      <c r="AL46" s="2"/>
    </row>
    <row r="47">
      <c r="A47" s="1"/>
      <c r="B47" s="2"/>
      <c r="C47" s="2"/>
      <c r="D47" s="2"/>
      <c r="E47" s="2"/>
      <c r="F47" s="2"/>
      <c r="G47" s="2"/>
      <c r="H47" s="2"/>
      <c r="I47" s="2"/>
      <c r="J47" s="2"/>
      <c r="K47" s="2"/>
      <c r="L47" s="2"/>
      <c r="M47" s="2"/>
      <c r="N47" s="2"/>
      <c r="O47" s="2"/>
      <c r="P47" s="2"/>
      <c r="Q47" s="2"/>
      <c r="R47" s="2"/>
      <c r="S47" s="2"/>
      <c r="T47" s="2"/>
      <c r="U47" s="2"/>
      <c r="V47" s="2"/>
      <c r="W47" s="2"/>
      <c r="X47" s="3"/>
      <c r="Y47" s="2"/>
      <c r="Z47" s="2"/>
      <c r="AA47" s="2"/>
      <c r="AB47" s="2"/>
      <c r="AC47" s="2"/>
      <c r="AD47" s="2"/>
      <c r="AE47" s="2"/>
      <c r="AF47" s="2"/>
      <c r="AG47" s="2"/>
      <c r="AH47" s="2"/>
      <c r="AI47" s="2"/>
      <c r="AJ47" s="2"/>
      <c r="AK47" s="2"/>
      <c r="AL47" s="2"/>
    </row>
    <row r="48">
      <c r="A48" s="1"/>
      <c r="B48" s="2"/>
      <c r="C48" s="2"/>
      <c r="D48" s="2"/>
      <c r="E48" s="2"/>
      <c r="F48" s="2"/>
      <c r="G48" s="2"/>
      <c r="H48" s="2"/>
      <c r="I48" s="2"/>
      <c r="J48" s="2"/>
      <c r="K48" s="2"/>
      <c r="L48" s="2"/>
      <c r="M48" s="2"/>
      <c r="N48" s="2"/>
      <c r="O48" s="2"/>
      <c r="P48" s="2"/>
      <c r="Q48" s="2"/>
      <c r="R48" s="2"/>
      <c r="S48" s="2"/>
      <c r="T48" s="2"/>
      <c r="U48" s="2"/>
      <c r="V48" s="2"/>
      <c r="W48" s="2"/>
      <c r="X48" s="3"/>
      <c r="Y48" s="2"/>
      <c r="Z48" s="2"/>
      <c r="AA48" s="2"/>
      <c r="AB48" s="2"/>
      <c r="AC48" s="2"/>
      <c r="AD48" s="2"/>
      <c r="AE48" s="2"/>
      <c r="AF48" s="2"/>
      <c r="AG48" s="2"/>
      <c r="AH48" s="2"/>
      <c r="AI48" s="2"/>
      <c r="AJ48" s="2"/>
      <c r="AK48" s="2"/>
      <c r="AL48" s="2"/>
    </row>
    <row r="49">
      <c r="A49" s="1"/>
      <c r="B49" s="2"/>
      <c r="C49" s="2"/>
      <c r="D49" s="2"/>
      <c r="E49" s="2"/>
      <c r="F49" s="2"/>
      <c r="G49" s="2"/>
      <c r="H49" s="2"/>
      <c r="I49" s="2"/>
      <c r="J49" s="2"/>
      <c r="K49" s="2"/>
      <c r="L49" s="2"/>
      <c r="M49" s="2"/>
      <c r="N49" s="2"/>
      <c r="O49" s="2"/>
      <c r="P49" s="2"/>
      <c r="Q49" s="2"/>
      <c r="R49" s="2"/>
      <c r="S49" s="2"/>
      <c r="T49" s="2"/>
      <c r="U49" s="2"/>
      <c r="V49" s="2"/>
      <c r="W49" s="2"/>
      <c r="X49" s="3"/>
      <c r="Y49" s="2"/>
      <c r="Z49" s="2"/>
      <c r="AA49" s="2"/>
      <c r="AB49" s="2"/>
      <c r="AC49" s="2"/>
      <c r="AD49" s="2"/>
      <c r="AE49" s="2"/>
      <c r="AF49" s="2"/>
      <c r="AG49" s="2"/>
      <c r="AH49" s="2"/>
      <c r="AI49" s="2"/>
      <c r="AJ49" s="2"/>
      <c r="AK49" s="2"/>
      <c r="AL49" s="2"/>
    </row>
    <row r="50">
      <c r="A50" s="1"/>
      <c r="B50" s="2"/>
      <c r="C50" s="2"/>
      <c r="D50" s="2"/>
      <c r="E50" s="2"/>
      <c r="F50" s="2"/>
      <c r="G50" s="2"/>
      <c r="H50" s="2"/>
      <c r="I50" s="2"/>
      <c r="J50" s="2"/>
      <c r="K50" s="2"/>
      <c r="L50" s="2"/>
      <c r="M50" s="2"/>
      <c r="N50" s="2"/>
      <c r="O50" s="2"/>
      <c r="P50" s="2"/>
      <c r="Q50" s="2"/>
      <c r="R50" s="2"/>
      <c r="S50" s="2"/>
      <c r="T50" s="2"/>
      <c r="U50" s="2"/>
      <c r="V50" s="2"/>
      <c r="W50" s="2"/>
      <c r="X50" s="3"/>
      <c r="Y50" s="2"/>
      <c r="Z50" s="2"/>
      <c r="AA50" s="2"/>
      <c r="AB50" s="2"/>
      <c r="AC50" s="2"/>
      <c r="AD50" s="2"/>
      <c r="AE50" s="2"/>
      <c r="AF50" s="2"/>
      <c r="AG50" s="2"/>
      <c r="AH50" s="2"/>
      <c r="AI50" s="2"/>
      <c r="AJ50" s="2"/>
      <c r="AK50" s="2"/>
      <c r="AL50" s="2"/>
    </row>
    <row r="51">
      <c r="A51" s="1"/>
      <c r="B51" s="2"/>
      <c r="C51" s="2"/>
      <c r="D51" s="2"/>
      <c r="E51" s="2"/>
      <c r="F51" s="2"/>
      <c r="G51" s="2"/>
      <c r="H51" s="2"/>
      <c r="I51" s="2"/>
      <c r="J51" s="2"/>
      <c r="K51" s="2"/>
      <c r="L51" s="2"/>
      <c r="M51" s="2"/>
      <c r="N51" s="2"/>
      <c r="O51" s="2"/>
      <c r="P51" s="2"/>
      <c r="Q51" s="2"/>
      <c r="R51" s="2"/>
      <c r="S51" s="2"/>
      <c r="T51" s="2"/>
      <c r="U51" s="2"/>
      <c r="V51" s="2"/>
      <c r="W51" s="2"/>
      <c r="X51" s="3"/>
      <c r="Y51" s="2"/>
      <c r="Z51" s="2"/>
      <c r="AA51" s="2"/>
      <c r="AB51" s="2"/>
      <c r="AC51" s="2"/>
      <c r="AD51" s="2"/>
      <c r="AE51" s="2"/>
      <c r="AF51" s="2"/>
      <c r="AG51" s="2"/>
      <c r="AH51" s="2"/>
      <c r="AI51" s="2"/>
      <c r="AJ51" s="2"/>
      <c r="AK51" s="2"/>
      <c r="AL51" s="2"/>
    </row>
    <row r="52">
      <c r="A52" s="1"/>
      <c r="B52" s="2"/>
      <c r="C52" s="2"/>
      <c r="D52" s="2"/>
      <c r="E52" s="2"/>
      <c r="F52" s="2"/>
      <c r="G52" s="2"/>
      <c r="H52" s="2"/>
      <c r="I52" s="2"/>
      <c r="J52" s="2"/>
      <c r="K52" s="2"/>
      <c r="L52" s="2"/>
      <c r="M52" s="2"/>
      <c r="N52" s="2"/>
      <c r="O52" s="2"/>
      <c r="P52" s="2"/>
      <c r="Q52" s="2"/>
      <c r="R52" s="2"/>
      <c r="S52" s="2"/>
      <c r="T52" s="2"/>
      <c r="U52" s="2"/>
      <c r="V52" s="2"/>
      <c r="W52" s="2"/>
      <c r="X52" s="3"/>
      <c r="Y52" s="2"/>
      <c r="Z52" s="2"/>
      <c r="AA52" s="2"/>
      <c r="AB52" s="2"/>
      <c r="AC52" s="2"/>
      <c r="AD52" s="2"/>
      <c r="AE52" s="2"/>
      <c r="AF52" s="2"/>
      <c r="AG52" s="2"/>
      <c r="AH52" s="2"/>
      <c r="AI52" s="2"/>
      <c r="AJ52" s="2"/>
      <c r="AK52" s="2"/>
      <c r="AL52" s="2"/>
    </row>
    <row r="53">
      <c r="A53" s="1"/>
      <c r="B53" s="2"/>
      <c r="C53" s="2"/>
      <c r="D53" s="2"/>
      <c r="E53" s="2"/>
      <c r="F53" s="2"/>
      <c r="G53" s="2"/>
      <c r="H53" s="2"/>
      <c r="I53" s="2"/>
      <c r="J53" s="2"/>
      <c r="K53" s="2"/>
      <c r="L53" s="2"/>
      <c r="M53" s="2"/>
      <c r="N53" s="2"/>
      <c r="O53" s="2"/>
      <c r="P53" s="2"/>
      <c r="Q53" s="2"/>
      <c r="R53" s="2"/>
      <c r="S53" s="2"/>
      <c r="T53" s="2"/>
      <c r="U53" s="2"/>
      <c r="V53" s="2"/>
      <c r="W53" s="2"/>
      <c r="X53" s="3"/>
      <c r="Y53" s="2"/>
      <c r="Z53" s="2"/>
      <c r="AA53" s="2"/>
      <c r="AB53" s="2"/>
      <c r="AC53" s="2"/>
      <c r="AD53" s="2"/>
      <c r="AE53" s="2"/>
      <c r="AF53" s="2"/>
      <c r="AG53" s="2"/>
      <c r="AH53" s="2"/>
      <c r="AI53" s="2"/>
      <c r="AJ53" s="2"/>
      <c r="AK53" s="2"/>
      <c r="AL53" s="2"/>
    </row>
    <row r="54">
      <c r="A54" s="1"/>
      <c r="B54" s="2"/>
      <c r="C54" s="2"/>
      <c r="D54" s="2"/>
      <c r="E54" s="2"/>
      <c r="F54" s="2"/>
      <c r="G54" s="2"/>
      <c r="H54" s="2"/>
      <c r="I54" s="2"/>
      <c r="J54" s="2"/>
      <c r="K54" s="2"/>
      <c r="L54" s="2"/>
      <c r="M54" s="2"/>
      <c r="N54" s="2"/>
      <c r="O54" s="2"/>
      <c r="P54" s="2"/>
      <c r="Q54" s="2"/>
      <c r="R54" s="2"/>
      <c r="S54" s="2"/>
      <c r="T54" s="2"/>
      <c r="U54" s="2"/>
      <c r="V54" s="2"/>
      <c r="W54" s="2"/>
      <c r="X54" s="3"/>
      <c r="Y54" s="2"/>
      <c r="Z54" s="2"/>
      <c r="AA54" s="2"/>
      <c r="AB54" s="2"/>
      <c r="AC54" s="2"/>
      <c r="AD54" s="2"/>
      <c r="AE54" s="2"/>
      <c r="AF54" s="2"/>
      <c r="AG54" s="2"/>
      <c r="AH54" s="2"/>
      <c r="AI54" s="2"/>
      <c r="AJ54" s="2"/>
      <c r="AK54" s="2"/>
      <c r="AL54" s="2"/>
    </row>
    <row r="55">
      <c r="A55" s="1"/>
      <c r="B55" s="2"/>
      <c r="C55" s="2"/>
      <c r="D55" s="2"/>
      <c r="E55" s="2"/>
      <c r="F55" s="2"/>
      <c r="G55" s="2"/>
      <c r="H55" s="2"/>
      <c r="I55" s="2"/>
      <c r="J55" s="2"/>
      <c r="K55" s="2"/>
      <c r="L55" s="2"/>
      <c r="M55" s="2"/>
      <c r="N55" s="2"/>
      <c r="O55" s="2"/>
      <c r="P55" s="2"/>
      <c r="Q55" s="2"/>
      <c r="R55" s="2"/>
      <c r="S55" s="2"/>
      <c r="T55" s="2"/>
      <c r="U55" s="2"/>
      <c r="V55" s="2"/>
      <c r="W55" s="2"/>
      <c r="X55" s="3"/>
      <c r="Y55" s="2"/>
      <c r="Z55" s="2"/>
      <c r="AA55" s="2"/>
      <c r="AB55" s="2"/>
      <c r="AC55" s="2"/>
      <c r="AD55" s="2"/>
      <c r="AE55" s="2"/>
      <c r="AF55" s="2"/>
      <c r="AG55" s="2"/>
      <c r="AH55" s="2"/>
      <c r="AI55" s="2"/>
      <c r="AJ55" s="2"/>
      <c r="AK55" s="2"/>
      <c r="AL55" s="2"/>
    </row>
    <row r="56">
      <c r="A56" s="1"/>
      <c r="B56" s="2"/>
      <c r="C56" s="2"/>
      <c r="D56" s="2"/>
      <c r="E56" s="2"/>
      <c r="F56" s="2"/>
      <c r="G56" s="2"/>
      <c r="H56" s="2"/>
      <c r="I56" s="2"/>
      <c r="J56" s="2"/>
      <c r="K56" s="2"/>
      <c r="L56" s="2"/>
      <c r="M56" s="2"/>
      <c r="N56" s="2"/>
      <c r="O56" s="2"/>
      <c r="P56" s="2"/>
      <c r="Q56" s="2"/>
      <c r="R56" s="2"/>
      <c r="S56" s="2"/>
      <c r="T56" s="2"/>
      <c r="U56" s="2"/>
      <c r="V56" s="2"/>
      <c r="W56" s="2"/>
      <c r="X56" s="3"/>
      <c r="Y56" s="2"/>
      <c r="Z56" s="2"/>
      <c r="AA56" s="2"/>
      <c r="AB56" s="2"/>
      <c r="AC56" s="2"/>
      <c r="AD56" s="2"/>
      <c r="AE56" s="2"/>
      <c r="AF56" s="2"/>
      <c r="AG56" s="2"/>
      <c r="AH56" s="2"/>
      <c r="AI56" s="2"/>
      <c r="AJ56" s="2"/>
      <c r="AK56" s="2"/>
      <c r="AL56" s="2"/>
    </row>
    <row r="57">
      <c r="A57" s="1"/>
      <c r="B57" s="2"/>
      <c r="C57" s="2"/>
      <c r="D57" s="2"/>
      <c r="E57" s="2"/>
      <c r="F57" s="2"/>
      <c r="G57" s="2"/>
      <c r="H57" s="2"/>
      <c r="I57" s="2"/>
      <c r="J57" s="2"/>
      <c r="K57" s="2"/>
      <c r="L57" s="2"/>
      <c r="M57" s="2"/>
      <c r="N57" s="2"/>
      <c r="O57" s="2"/>
      <c r="P57" s="2"/>
      <c r="Q57" s="2"/>
      <c r="R57" s="2"/>
      <c r="S57" s="2"/>
      <c r="T57" s="2"/>
      <c r="U57" s="2"/>
      <c r="V57" s="2"/>
      <c r="W57" s="2"/>
      <c r="X57" s="3"/>
      <c r="Y57" s="2"/>
      <c r="Z57" s="2"/>
      <c r="AA57" s="2"/>
      <c r="AB57" s="2"/>
      <c r="AC57" s="2"/>
      <c r="AD57" s="2"/>
      <c r="AE57" s="2"/>
      <c r="AF57" s="2"/>
      <c r="AG57" s="2"/>
      <c r="AH57" s="2"/>
      <c r="AI57" s="2"/>
      <c r="AJ57" s="2"/>
      <c r="AK57" s="2"/>
      <c r="AL57" s="2"/>
    </row>
    <row r="58">
      <c r="A58" s="1"/>
      <c r="B58" s="2"/>
      <c r="C58" s="2"/>
      <c r="D58" s="2"/>
      <c r="E58" s="2"/>
      <c r="F58" s="2"/>
      <c r="G58" s="2"/>
      <c r="H58" s="2"/>
      <c r="I58" s="2"/>
      <c r="J58" s="2"/>
      <c r="K58" s="2"/>
      <c r="L58" s="2"/>
      <c r="M58" s="2"/>
      <c r="N58" s="2"/>
      <c r="O58" s="2"/>
      <c r="P58" s="2"/>
      <c r="Q58" s="2"/>
      <c r="R58" s="2"/>
      <c r="S58" s="2"/>
      <c r="T58" s="2"/>
      <c r="U58" s="2"/>
      <c r="V58" s="2"/>
      <c r="W58" s="2"/>
      <c r="X58" s="3"/>
      <c r="Y58" s="2"/>
      <c r="Z58" s="2"/>
      <c r="AA58" s="2"/>
      <c r="AB58" s="2"/>
      <c r="AC58" s="2"/>
      <c r="AD58" s="2"/>
      <c r="AE58" s="2"/>
      <c r="AF58" s="2"/>
      <c r="AG58" s="2"/>
      <c r="AH58" s="2"/>
      <c r="AI58" s="2"/>
      <c r="AJ58" s="2"/>
      <c r="AK58" s="2"/>
      <c r="AL58" s="2"/>
    </row>
    <row r="59">
      <c r="A59" s="1"/>
      <c r="B59" s="2"/>
      <c r="C59" s="2"/>
      <c r="D59" s="2"/>
      <c r="E59" s="2"/>
      <c r="F59" s="2"/>
      <c r="G59" s="2"/>
      <c r="H59" s="2"/>
      <c r="I59" s="2"/>
      <c r="J59" s="2"/>
      <c r="K59" s="2"/>
      <c r="L59" s="2"/>
      <c r="M59" s="2"/>
      <c r="N59" s="2"/>
      <c r="O59" s="2"/>
      <c r="P59" s="2"/>
      <c r="Q59" s="2"/>
      <c r="R59" s="2"/>
      <c r="S59" s="2"/>
      <c r="T59" s="2"/>
      <c r="U59" s="2"/>
      <c r="V59" s="2"/>
      <c r="W59" s="2"/>
      <c r="X59" s="3"/>
      <c r="Y59" s="2"/>
      <c r="Z59" s="2"/>
      <c r="AA59" s="2"/>
      <c r="AB59" s="2"/>
      <c r="AC59" s="2"/>
      <c r="AD59" s="2"/>
      <c r="AE59" s="2"/>
      <c r="AF59" s="2"/>
      <c r="AG59" s="2"/>
      <c r="AH59" s="2"/>
      <c r="AI59" s="2"/>
      <c r="AJ59" s="2"/>
      <c r="AK59" s="2"/>
      <c r="AL59" s="2"/>
    </row>
    <row r="60">
      <c r="A60" s="1"/>
      <c r="B60" s="2"/>
      <c r="C60" s="2"/>
      <c r="D60" s="2"/>
      <c r="E60" s="2"/>
      <c r="F60" s="2"/>
      <c r="G60" s="2"/>
      <c r="H60" s="2"/>
      <c r="I60" s="2"/>
      <c r="J60" s="2"/>
      <c r="K60" s="2"/>
      <c r="L60" s="2"/>
      <c r="M60" s="2"/>
      <c r="N60" s="2"/>
      <c r="O60" s="2"/>
      <c r="P60" s="2"/>
      <c r="Q60" s="2"/>
      <c r="R60" s="2"/>
      <c r="S60" s="2"/>
      <c r="T60" s="2"/>
      <c r="U60" s="2"/>
      <c r="V60" s="2"/>
      <c r="W60" s="2"/>
      <c r="X60" s="3"/>
      <c r="Y60" s="2"/>
      <c r="Z60" s="2"/>
      <c r="AA60" s="2"/>
      <c r="AB60" s="2"/>
      <c r="AC60" s="2"/>
      <c r="AD60" s="2"/>
      <c r="AE60" s="2"/>
      <c r="AF60" s="2"/>
      <c r="AG60" s="2"/>
      <c r="AH60" s="2"/>
      <c r="AI60" s="2"/>
      <c r="AJ60" s="2"/>
      <c r="AK60" s="2"/>
      <c r="AL60" s="2"/>
    </row>
    <row r="61">
      <c r="A61" s="1"/>
      <c r="B61" s="2"/>
      <c r="C61" s="2"/>
      <c r="D61" s="2"/>
      <c r="E61" s="2"/>
      <c r="F61" s="2"/>
      <c r="G61" s="2"/>
      <c r="H61" s="2"/>
      <c r="I61" s="2"/>
      <c r="J61" s="2"/>
      <c r="K61" s="2"/>
      <c r="L61" s="2"/>
      <c r="M61" s="2"/>
      <c r="N61" s="2"/>
      <c r="O61" s="2"/>
      <c r="P61" s="2"/>
      <c r="Q61" s="2"/>
      <c r="R61" s="2"/>
      <c r="S61" s="2"/>
      <c r="T61" s="2"/>
      <c r="U61" s="2"/>
      <c r="V61" s="2"/>
      <c r="W61" s="2"/>
      <c r="X61" s="3"/>
      <c r="Y61" s="2"/>
      <c r="Z61" s="2"/>
      <c r="AA61" s="2"/>
      <c r="AB61" s="2"/>
      <c r="AC61" s="2"/>
      <c r="AD61" s="2"/>
      <c r="AE61" s="2"/>
      <c r="AF61" s="2"/>
      <c r="AG61" s="2"/>
      <c r="AH61" s="2"/>
      <c r="AI61" s="2"/>
      <c r="AJ61" s="2"/>
      <c r="AK61" s="2"/>
      <c r="AL61" s="2"/>
    </row>
    <row r="62">
      <c r="A62" s="1"/>
      <c r="B62" s="2"/>
      <c r="C62" s="2"/>
      <c r="D62" s="2"/>
      <c r="E62" s="2"/>
      <c r="F62" s="2"/>
      <c r="G62" s="2"/>
      <c r="H62" s="2"/>
      <c r="I62" s="2"/>
      <c r="J62" s="2"/>
      <c r="K62" s="2"/>
      <c r="L62" s="2"/>
      <c r="M62" s="2"/>
      <c r="N62" s="2"/>
      <c r="O62" s="2"/>
      <c r="P62" s="2"/>
      <c r="Q62" s="2"/>
      <c r="R62" s="2"/>
      <c r="S62" s="2"/>
      <c r="T62" s="2"/>
      <c r="U62" s="2"/>
      <c r="V62" s="2"/>
      <c r="W62" s="2"/>
      <c r="X62" s="3"/>
      <c r="Y62" s="2"/>
      <c r="Z62" s="2"/>
      <c r="AA62" s="2"/>
      <c r="AB62" s="2"/>
      <c r="AC62" s="2"/>
      <c r="AD62" s="2"/>
      <c r="AE62" s="2"/>
      <c r="AF62" s="2"/>
      <c r="AG62" s="2"/>
      <c r="AH62" s="2"/>
      <c r="AI62" s="2"/>
      <c r="AJ62" s="2"/>
      <c r="AK62" s="2"/>
      <c r="AL62" s="2"/>
    </row>
    <row r="63">
      <c r="A63" s="1"/>
      <c r="B63" s="2"/>
      <c r="C63" s="2"/>
      <c r="D63" s="2"/>
      <c r="E63" s="2"/>
      <c r="F63" s="2"/>
      <c r="G63" s="2"/>
      <c r="H63" s="2"/>
      <c r="I63" s="2"/>
      <c r="J63" s="2"/>
      <c r="K63" s="2"/>
      <c r="L63" s="2"/>
      <c r="M63" s="2"/>
      <c r="N63" s="2"/>
      <c r="O63" s="2"/>
      <c r="P63" s="2"/>
      <c r="Q63" s="2"/>
      <c r="R63" s="2"/>
      <c r="S63" s="2"/>
      <c r="T63" s="2"/>
      <c r="U63" s="2"/>
      <c r="V63" s="2"/>
      <c r="W63" s="2"/>
      <c r="X63" s="3"/>
      <c r="Y63" s="2"/>
      <c r="Z63" s="2"/>
      <c r="AA63" s="2"/>
      <c r="AB63" s="2"/>
      <c r="AC63" s="2"/>
      <c r="AD63" s="2"/>
      <c r="AE63" s="2"/>
      <c r="AF63" s="2"/>
      <c r="AG63" s="2"/>
      <c r="AH63" s="2"/>
      <c r="AI63" s="2"/>
      <c r="AJ63" s="2"/>
      <c r="AK63" s="2"/>
      <c r="AL63" s="2"/>
    </row>
    <row r="64">
      <c r="A64" s="1"/>
      <c r="B64" s="2"/>
      <c r="C64" s="2"/>
      <c r="D64" s="2"/>
      <c r="E64" s="2"/>
      <c r="F64" s="2"/>
      <c r="G64" s="2"/>
      <c r="H64" s="2"/>
      <c r="I64" s="2"/>
      <c r="J64" s="2"/>
      <c r="K64" s="2"/>
      <c r="L64" s="2"/>
      <c r="M64" s="2"/>
      <c r="N64" s="2"/>
      <c r="O64" s="2"/>
      <c r="P64" s="2"/>
      <c r="Q64" s="2"/>
      <c r="R64" s="2"/>
      <c r="S64" s="2"/>
      <c r="T64" s="2"/>
      <c r="U64" s="2"/>
      <c r="V64" s="2"/>
      <c r="W64" s="2"/>
      <c r="X64" s="3"/>
      <c r="Y64" s="2"/>
      <c r="Z64" s="2"/>
      <c r="AA64" s="2"/>
      <c r="AB64" s="2"/>
      <c r="AC64" s="2"/>
      <c r="AD64" s="2"/>
      <c r="AE64" s="2"/>
      <c r="AF64" s="2"/>
      <c r="AG64" s="2"/>
      <c r="AH64" s="2"/>
      <c r="AI64" s="2"/>
      <c r="AJ64" s="2"/>
      <c r="AK64" s="2"/>
      <c r="AL64" s="2"/>
    </row>
    <row r="65">
      <c r="A65" s="1"/>
      <c r="B65" s="2"/>
      <c r="C65" s="2"/>
      <c r="D65" s="2"/>
      <c r="E65" s="2"/>
      <c r="F65" s="2"/>
      <c r="G65" s="2"/>
      <c r="H65" s="2"/>
      <c r="I65" s="2"/>
      <c r="J65" s="2"/>
      <c r="K65" s="2"/>
      <c r="L65" s="2"/>
      <c r="M65" s="2"/>
      <c r="N65" s="2"/>
      <c r="O65" s="2"/>
      <c r="P65" s="2"/>
      <c r="Q65" s="2"/>
      <c r="R65" s="2"/>
      <c r="S65" s="2"/>
      <c r="T65" s="2"/>
      <c r="U65" s="2"/>
      <c r="V65" s="2"/>
      <c r="W65" s="2"/>
      <c r="X65" s="3"/>
      <c r="Y65" s="2"/>
      <c r="Z65" s="2"/>
      <c r="AA65" s="2"/>
      <c r="AB65" s="2"/>
      <c r="AC65" s="2"/>
      <c r="AD65" s="2"/>
      <c r="AE65" s="2"/>
      <c r="AF65" s="2"/>
      <c r="AG65" s="2"/>
      <c r="AH65" s="2"/>
      <c r="AI65" s="2"/>
      <c r="AJ65" s="2"/>
      <c r="AK65" s="2"/>
      <c r="AL65" s="2"/>
    </row>
    <row r="66">
      <c r="A66" s="1"/>
      <c r="B66" s="2"/>
      <c r="C66" s="2"/>
      <c r="D66" s="2"/>
      <c r="E66" s="2"/>
      <c r="F66" s="2"/>
      <c r="G66" s="2"/>
      <c r="H66" s="2"/>
      <c r="I66" s="2"/>
      <c r="J66" s="2"/>
      <c r="K66" s="2"/>
      <c r="L66" s="2"/>
      <c r="M66" s="2"/>
      <c r="N66" s="2"/>
      <c r="O66" s="2"/>
      <c r="P66" s="2"/>
      <c r="Q66" s="2"/>
      <c r="R66" s="2"/>
      <c r="S66" s="2"/>
      <c r="T66" s="2"/>
      <c r="U66" s="2"/>
      <c r="V66" s="2"/>
      <c r="W66" s="2"/>
      <c r="X66" s="3"/>
      <c r="Y66" s="2"/>
      <c r="Z66" s="2"/>
      <c r="AA66" s="2"/>
      <c r="AB66" s="2"/>
      <c r="AC66" s="2"/>
      <c r="AD66" s="2"/>
      <c r="AE66" s="2"/>
      <c r="AF66" s="2"/>
      <c r="AG66" s="2"/>
      <c r="AH66" s="2"/>
      <c r="AI66" s="2"/>
      <c r="AJ66" s="2"/>
      <c r="AK66" s="2"/>
      <c r="AL66" s="2"/>
    </row>
    <row r="67">
      <c r="A67" s="1"/>
      <c r="B67" s="2"/>
      <c r="C67" s="2"/>
      <c r="D67" s="2"/>
      <c r="E67" s="2"/>
      <c r="F67" s="2"/>
      <c r="G67" s="2"/>
      <c r="H67" s="2"/>
      <c r="I67" s="2"/>
      <c r="J67" s="2"/>
      <c r="K67" s="2"/>
      <c r="L67" s="2"/>
      <c r="M67" s="2"/>
      <c r="N67" s="2"/>
      <c r="O67" s="2"/>
      <c r="P67" s="2"/>
      <c r="Q67" s="2"/>
      <c r="R67" s="2"/>
      <c r="S67" s="2"/>
      <c r="T67" s="2"/>
      <c r="U67" s="2"/>
      <c r="V67" s="2"/>
      <c r="W67" s="2"/>
      <c r="X67" s="3"/>
      <c r="Y67" s="2"/>
      <c r="Z67" s="2"/>
      <c r="AA67" s="2"/>
      <c r="AB67" s="2"/>
      <c r="AC67" s="2"/>
      <c r="AD67" s="2"/>
      <c r="AE67" s="2"/>
      <c r="AF67" s="2"/>
      <c r="AG67" s="2"/>
      <c r="AH67" s="2"/>
      <c r="AI67" s="2"/>
      <c r="AJ67" s="2"/>
      <c r="AK67" s="2"/>
      <c r="AL67" s="2"/>
    </row>
    <row r="68">
      <c r="A68" s="1"/>
      <c r="B68" s="2"/>
      <c r="C68" s="2"/>
      <c r="D68" s="2"/>
      <c r="E68" s="2"/>
      <c r="F68" s="2"/>
      <c r="G68" s="2"/>
      <c r="H68" s="2"/>
      <c r="I68" s="2"/>
      <c r="J68" s="2"/>
      <c r="K68" s="2"/>
      <c r="L68" s="2"/>
      <c r="M68" s="2"/>
      <c r="N68" s="2"/>
      <c r="O68" s="2"/>
      <c r="P68" s="2"/>
      <c r="Q68" s="2"/>
      <c r="R68" s="2"/>
      <c r="S68" s="2"/>
      <c r="T68" s="2"/>
      <c r="U68" s="2"/>
      <c r="V68" s="2"/>
      <c r="W68" s="2"/>
      <c r="X68" s="3"/>
      <c r="Y68" s="2"/>
      <c r="Z68" s="2"/>
      <c r="AA68" s="2"/>
      <c r="AB68" s="2"/>
      <c r="AC68" s="2"/>
      <c r="AD68" s="2"/>
      <c r="AE68" s="2"/>
      <c r="AF68" s="2"/>
      <c r="AG68" s="2"/>
      <c r="AH68" s="2"/>
      <c r="AI68" s="2"/>
      <c r="AJ68" s="2"/>
      <c r="AK68" s="2"/>
      <c r="AL68" s="2"/>
    </row>
    <row r="69">
      <c r="A69" s="1"/>
      <c r="B69" s="2"/>
      <c r="C69" s="2"/>
      <c r="D69" s="2"/>
      <c r="E69" s="2"/>
      <c r="F69" s="2"/>
      <c r="G69" s="2"/>
      <c r="H69" s="2"/>
      <c r="I69" s="2"/>
      <c r="J69" s="2"/>
      <c r="K69" s="2"/>
      <c r="L69" s="2"/>
      <c r="M69" s="2"/>
      <c r="N69" s="2"/>
      <c r="O69" s="2"/>
      <c r="P69" s="2"/>
      <c r="Q69" s="2"/>
      <c r="R69" s="2"/>
      <c r="S69" s="2"/>
      <c r="T69" s="2"/>
      <c r="U69" s="2"/>
      <c r="V69" s="2"/>
      <c r="W69" s="2"/>
      <c r="X69" s="3"/>
      <c r="Y69" s="2"/>
      <c r="Z69" s="2"/>
      <c r="AA69" s="2"/>
      <c r="AB69" s="2"/>
      <c r="AC69" s="2"/>
      <c r="AD69" s="2"/>
      <c r="AE69" s="2"/>
      <c r="AF69" s="2"/>
      <c r="AG69" s="2"/>
      <c r="AH69" s="2"/>
      <c r="AI69" s="2"/>
      <c r="AJ69" s="2"/>
      <c r="AK69" s="2"/>
      <c r="AL69" s="2"/>
    </row>
    <row r="70">
      <c r="A70" s="1"/>
      <c r="B70" s="2"/>
      <c r="C70" s="2"/>
      <c r="D70" s="2"/>
      <c r="E70" s="2"/>
      <c r="F70" s="2"/>
      <c r="G70" s="2"/>
      <c r="H70" s="2"/>
      <c r="I70" s="2"/>
      <c r="J70" s="2"/>
      <c r="K70" s="2"/>
      <c r="L70" s="2"/>
      <c r="M70" s="2"/>
      <c r="N70" s="2"/>
      <c r="O70" s="2"/>
      <c r="P70" s="2"/>
      <c r="Q70" s="2"/>
      <c r="R70" s="2"/>
      <c r="S70" s="2"/>
      <c r="T70" s="2"/>
      <c r="U70" s="2"/>
      <c r="V70" s="2"/>
      <c r="W70" s="2"/>
      <c r="X70" s="3"/>
      <c r="Y70" s="2"/>
      <c r="Z70" s="2"/>
      <c r="AA70" s="2"/>
      <c r="AB70" s="2"/>
      <c r="AC70" s="2"/>
      <c r="AD70" s="2"/>
      <c r="AE70" s="2"/>
      <c r="AF70" s="2"/>
      <c r="AG70" s="2"/>
      <c r="AH70" s="2"/>
      <c r="AI70" s="2"/>
      <c r="AJ70" s="2"/>
      <c r="AK70" s="2"/>
      <c r="AL70" s="2"/>
    </row>
    <row r="71">
      <c r="A71" s="1"/>
      <c r="B71" s="2"/>
      <c r="C71" s="2"/>
      <c r="D71" s="2"/>
      <c r="E71" s="2"/>
      <c r="F71" s="2"/>
      <c r="G71" s="2"/>
      <c r="H71" s="2"/>
      <c r="I71" s="2"/>
      <c r="J71" s="2"/>
      <c r="K71" s="2"/>
      <c r="L71" s="2"/>
      <c r="M71" s="2"/>
      <c r="N71" s="2"/>
      <c r="O71" s="2"/>
      <c r="P71" s="2"/>
      <c r="Q71" s="2"/>
      <c r="R71" s="2"/>
      <c r="S71" s="2"/>
      <c r="T71" s="2"/>
      <c r="U71" s="2"/>
      <c r="V71" s="2"/>
      <c r="W71" s="2"/>
      <c r="X71" s="3"/>
      <c r="Y71" s="2"/>
      <c r="Z71" s="2"/>
      <c r="AA71" s="2"/>
      <c r="AB71" s="2"/>
      <c r="AC71" s="2"/>
      <c r="AD71" s="2"/>
      <c r="AE71" s="2"/>
      <c r="AF71" s="2"/>
      <c r="AG71" s="2"/>
      <c r="AH71" s="2"/>
      <c r="AI71" s="2"/>
      <c r="AJ71" s="2"/>
      <c r="AK71" s="2"/>
      <c r="AL71" s="2"/>
    </row>
    <row r="72">
      <c r="A72" s="1"/>
      <c r="B72" s="2"/>
      <c r="C72" s="2"/>
      <c r="D72" s="2"/>
      <c r="E72" s="2"/>
      <c r="F72" s="2"/>
      <c r="G72" s="2"/>
      <c r="H72" s="2"/>
      <c r="I72" s="2"/>
      <c r="J72" s="2"/>
      <c r="K72" s="2"/>
      <c r="L72" s="2"/>
      <c r="M72" s="2"/>
      <c r="N72" s="2"/>
      <c r="O72" s="2"/>
      <c r="P72" s="2"/>
      <c r="Q72" s="2"/>
      <c r="R72" s="2"/>
      <c r="S72" s="2"/>
      <c r="T72" s="2"/>
      <c r="U72" s="2"/>
      <c r="V72" s="2"/>
      <c r="W72" s="2"/>
      <c r="X72" s="3"/>
      <c r="Y72" s="2"/>
      <c r="Z72" s="2"/>
      <c r="AA72" s="2"/>
      <c r="AB72" s="2"/>
      <c r="AC72" s="2"/>
      <c r="AD72" s="2"/>
      <c r="AE72" s="2"/>
      <c r="AF72" s="2"/>
      <c r="AG72" s="2"/>
      <c r="AH72" s="2"/>
      <c r="AI72" s="2"/>
      <c r="AJ72" s="2"/>
      <c r="AK72" s="2"/>
      <c r="AL72" s="2"/>
    </row>
    <row r="73">
      <c r="A73" s="1"/>
      <c r="B73" s="2"/>
      <c r="C73" s="2"/>
      <c r="D73" s="2"/>
      <c r="E73" s="2"/>
      <c r="F73" s="2"/>
      <c r="G73" s="2"/>
      <c r="H73" s="2"/>
      <c r="I73" s="2"/>
      <c r="J73" s="2"/>
      <c r="K73" s="2"/>
      <c r="L73" s="2"/>
      <c r="M73" s="2"/>
      <c r="N73" s="2"/>
      <c r="O73" s="2"/>
      <c r="P73" s="2"/>
      <c r="Q73" s="2"/>
      <c r="R73" s="2"/>
      <c r="S73" s="2"/>
      <c r="T73" s="2"/>
      <c r="U73" s="2"/>
      <c r="V73" s="2"/>
      <c r="W73" s="2"/>
      <c r="X73" s="3"/>
      <c r="Y73" s="2"/>
      <c r="Z73" s="2"/>
      <c r="AA73" s="2"/>
      <c r="AB73" s="2"/>
      <c r="AC73" s="2"/>
      <c r="AD73" s="2"/>
      <c r="AE73" s="2"/>
      <c r="AF73" s="2"/>
      <c r="AG73" s="2"/>
      <c r="AH73" s="2"/>
      <c r="AI73" s="2"/>
      <c r="AJ73" s="2"/>
      <c r="AK73" s="2"/>
      <c r="AL73" s="2"/>
    </row>
    <row r="74">
      <c r="A74" s="1"/>
      <c r="B74" s="2"/>
      <c r="C74" s="2"/>
      <c r="D74" s="2"/>
      <c r="E74" s="2"/>
      <c r="F74" s="2"/>
      <c r="G74" s="2"/>
      <c r="H74" s="2"/>
      <c r="I74" s="2"/>
      <c r="J74" s="2"/>
      <c r="K74" s="2"/>
      <c r="L74" s="2"/>
      <c r="M74" s="2"/>
      <c r="N74" s="2"/>
      <c r="O74" s="2"/>
      <c r="P74" s="2"/>
      <c r="Q74" s="2"/>
      <c r="R74" s="2"/>
      <c r="S74" s="2"/>
      <c r="T74" s="2"/>
      <c r="U74" s="2"/>
      <c r="V74" s="2"/>
      <c r="W74" s="2"/>
      <c r="X74" s="3"/>
      <c r="Y74" s="2"/>
      <c r="Z74" s="2"/>
      <c r="AA74" s="2"/>
      <c r="AB74" s="2"/>
      <c r="AC74" s="2"/>
      <c r="AD74" s="2"/>
      <c r="AE74" s="2"/>
      <c r="AF74" s="2"/>
      <c r="AG74" s="2"/>
      <c r="AH74" s="2"/>
      <c r="AI74" s="2"/>
      <c r="AJ74" s="2"/>
      <c r="AK74" s="2"/>
      <c r="AL74" s="2"/>
    </row>
    <row r="75">
      <c r="A75" s="1"/>
      <c r="B75" s="2"/>
      <c r="C75" s="2"/>
      <c r="D75" s="2"/>
      <c r="E75" s="2"/>
      <c r="F75" s="2"/>
      <c r="G75" s="2"/>
      <c r="H75" s="2"/>
      <c r="I75" s="2"/>
      <c r="J75" s="2"/>
      <c r="K75" s="2"/>
      <c r="L75" s="2"/>
      <c r="M75" s="2"/>
      <c r="N75" s="2"/>
      <c r="O75" s="2"/>
      <c r="P75" s="2"/>
      <c r="Q75" s="2"/>
      <c r="R75" s="2"/>
      <c r="S75" s="2"/>
      <c r="T75" s="2"/>
      <c r="U75" s="2"/>
      <c r="V75" s="2"/>
      <c r="W75" s="2"/>
      <c r="X75" s="3"/>
      <c r="Y75" s="2"/>
      <c r="Z75" s="2"/>
      <c r="AA75" s="2"/>
      <c r="AB75" s="2"/>
      <c r="AC75" s="2"/>
      <c r="AD75" s="2"/>
      <c r="AE75" s="2"/>
      <c r="AF75" s="2"/>
      <c r="AG75" s="2"/>
      <c r="AH75" s="2"/>
      <c r="AI75" s="2"/>
      <c r="AJ75" s="2"/>
      <c r="AK75" s="2"/>
      <c r="AL75" s="2"/>
    </row>
    <row r="76">
      <c r="A76" s="1"/>
      <c r="B76" s="2"/>
      <c r="C76" s="2"/>
      <c r="D76" s="2"/>
      <c r="E76" s="2"/>
      <c r="F76" s="2"/>
      <c r="G76" s="2"/>
      <c r="H76" s="2"/>
      <c r="I76" s="2"/>
      <c r="J76" s="2"/>
      <c r="K76" s="2"/>
      <c r="L76" s="2"/>
      <c r="M76" s="2"/>
      <c r="N76" s="2"/>
      <c r="O76" s="2"/>
      <c r="P76" s="2"/>
      <c r="Q76" s="2"/>
      <c r="R76" s="2"/>
      <c r="S76" s="2"/>
      <c r="T76" s="2"/>
      <c r="U76" s="2"/>
      <c r="V76" s="2"/>
      <c r="W76" s="2"/>
      <c r="X76" s="3"/>
      <c r="Y76" s="2"/>
      <c r="Z76" s="2"/>
      <c r="AA76" s="2"/>
      <c r="AB76" s="2"/>
      <c r="AC76" s="2"/>
      <c r="AD76" s="2"/>
      <c r="AE76" s="2"/>
      <c r="AF76" s="2"/>
      <c r="AG76" s="2"/>
      <c r="AH76" s="2"/>
      <c r="AI76" s="2"/>
      <c r="AJ76" s="2"/>
      <c r="AK76" s="2"/>
      <c r="AL76" s="2"/>
    </row>
    <row r="77">
      <c r="A77" s="1"/>
      <c r="B77" s="2"/>
      <c r="C77" s="2"/>
      <c r="D77" s="2"/>
      <c r="E77" s="2"/>
      <c r="F77" s="2"/>
      <c r="G77" s="2"/>
      <c r="H77" s="2"/>
      <c r="I77" s="2"/>
      <c r="J77" s="2"/>
      <c r="K77" s="2"/>
      <c r="L77" s="2"/>
      <c r="M77" s="2"/>
      <c r="N77" s="2"/>
      <c r="O77" s="2"/>
      <c r="P77" s="2"/>
      <c r="Q77" s="2"/>
      <c r="R77" s="2"/>
      <c r="S77" s="2"/>
      <c r="T77" s="2"/>
      <c r="U77" s="2"/>
      <c r="V77" s="2"/>
      <c r="W77" s="2"/>
      <c r="X77" s="3"/>
      <c r="Y77" s="2"/>
      <c r="Z77" s="2"/>
      <c r="AA77" s="2"/>
      <c r="AB77" s="2"/>
      <c r="AC77" s="2"/>
      <c r="AD77" s="2"/>
      <c r="AE77" s="2"/>
      <c r="AF77" s="2"/>
      <c r="AG77" s="2"/>
      <c r="AH77" s="2"/>
      <c r="AI77" s="2"/>
      <c r="AJ77" s="2"/>
      <c r="AK77" s="2"/>
      <c r="AL77" s="2"/>
    </row>
    <row r="78">
      <c r="A78" s="1"/>
      <c r="B78" s="2"/>
      <c r="C78" s="2"/>
      <c r="D78" s="2"/>
      <c r="E78" s="2"/>
      <c r="F78" s="2"/>
      <c r="G78" s="2"/>
      <c r="H78" s="2"/>
      <c r="I78" s="2"/>
      <c r="J78" s="2"/>
      <c r="K78" s="2"/>
      <c r="L78" s="2"/>
      <c r="M78" s="2"/>
      <c r="N78" s="2"/>
      <c r="O78" s="2"/>
      <c r="P78" s="2"/>
      <c r="Q78" s="2"/>
      <c r="R78" s="2"/>
      <c r="S78" s="2"/>
      <c r="T78" s="2"/>
      <c r="U78" s="2"/>
      <c r="V78" s="2"/>
      <c r="W78" s="2"/>
      <c r="X78" s="3"/>
      <c r="Y78" s="2"/>
      <c r="Z78" s="2"/>
      <c r="AA78" s="2"/>
      <c r="AB78" s="2"/>
      <c r="AC78" s="2"/>
      <c r="AD78" s="2"/>
      <c r="AE78" s="2"/>
      <c r="AF78" s="2"/>
      <c r="AG78" s="2"/>
      <c r="AH78" s="2"/>
      <c r="AI78" s="2"/>
      <c r="AJ78" s="2"/>
      <c r="AK78" s="2"/>
      <c r="AL78" s="2"/>
    </row>
    <row r="79">
      <c r="A79" s="1"/>
      <c r="B79" s="2"/>
      <c r="C79" s="2"/>
      <c r="D79" s="2"/>
      <c r="E79" s="2"/>
      <c r="F79" s="2"/>
      <c r="G79" s="2"/>
      <c r="H79" s="2"/>
      <c r="I79" s="2"/>
      <c r="J79" s="2"/>
      <c r="K79" s="2"/>
      <c r="L79" s="2"/>
      <c r="M79" s="2"/>
      <c r="N79" s="2"/>
      <c r="O79" s="2"/>
      <c r="P79" s="2"/>
      <c r="Q79" s="2"/>
      <c r="R79" s="2"/>
      <c r="S79" s="2"/>
      <c r="T79" s="2"/>
      <c r="U79" s="2"/>
      <c r="V79" s="2"/>
      <c r="W79" s="2"/>
      <c r="X79" s="3"/>
      <c r="Y79" s="2"/>
      <c r="Z79" s="2"/>
      <c r="AA79" s="2"/>
      <c r="AB79" s="2"/>
      <c r="AC79" s="2"/>
      <c r="AD79" s="2"/>
      <c r="AE79" s="2"/>
      <c r="AF79" s="2"/>
      <c r="AG79" s="2"/>
      <c r="AH79" s="2"/>
      <c r="AI79" s="2"/>
      <c r="AJ79" s="2"/>
      <c r="AK79" s="2"/>
      <c r="AL79" s="2"/>
    </row>
    <row r="80">
      <c r="A80" s="1"/>
      <c r="B80" s="2"/>
      <c r="C80" s="2"/>
      <c r="D80" s="2"/>
      <c r="E80" s="2"/>
      <c r="F80" s="2"/>
      <c r="G80" s="2"/>
      <c r="H80" s="2"/>
      <c r="I80" s="2"/>
      <c r="J80" s="2"/>
      <c r="K80" s="2"/>
      <c r="L80" s="2"/>
      <c r="M80" s="2"/>
      <c r="N80" s="2"/>
      <c r="O80" s="2"/>
      <c r="P80" s="2"/>
      <c r="Q80" s="2"/>
      <c r="R80" s="2"/>
      <c r="S80" s="2"/>
      <c r="T80" s="2"/>
      <c r="U80" s="2"/>
      <c r="V80" s="2"/>
      <c r="W80" s="2"/>
      <c r="X80" s="3"/>
      <c r="Y80" s="2"/>
      <c r="Z80" s="2"/>
      <c r="AA80" s="2"/>
      <c r="AB80" s="2"/>
      <c r="AC80" s="2"/>
      <c r="AD80" s="2"/>
      <c r="AE80" s="2"/>
      <c r="AF80" s="2"/>
      <c r="AG80" s="2"/>
      <c r="AH80" s="2"/>
      <c r="AI80" s="2"/>
      <c r="AJ80" s="2"/>
      <c r="AK80" s="2"/>
      <c r="AL80" s="2"/>
    </row>
    <row r="81">
      <c r="A81" s="1"/>
      <c r="B81" s="2"/>
      <c r="C81" s="2"/>
      <c r="D81" s="2"/>
      <c r="E81" s="2"/>
      <c r="F81" s="2"/>
      <c r="G81" s="2"/>
      <c r="H81" s="2"/>
      <c r="I81" s="2"/>
      <c r="J81" s="2"/>
      <c r="K81" s="2"/>
      <c r="L81" s="2"/>
      <c r="M81" s="2"/>
      <c r="N81" s="2"/>
      <c r="O81" s="2"/>
      <c r="P81" s="2"/>
      <c r="Q81" s="2"/>
      <c r="R81" s="2"/>
      <c r="S81" s="2"/>
      <c r="T81" s="2"/>
      <c r="U81" s="2"/>
      <c r="V81" s="2"/>
      <c r="W81" s="2"/>
      <c r="X81" s="3"/>
      <c r="Y81" s="2"/>
      <c r="Z81" s="2"/>
      <c r="AA81" s="2"/>
      <c r="AB81" s="2"/>
      <c r="AC81" s="2"/>
      <c r="AD81" s="2"/>
      <c r="AE81" s="2"/>
      <c r="AF81" s="2"/>
      <c r="AG81" s="2"/>
      <c r="AH81" s="2"/>
      <c r="AI81" s="2"/>
      <c r="AJ81" s="2"/>
      <c r="AK81" s="2"/>
      <c r="AL81" s="2"/>
    </row>
    <row r="82">
      <c r="A82" s="1"/>
      <c r="B82" s="2"/>
      <c r="C82" s="2"/>
      <c r="D82" s="2"/>
      <c r="E82" s="2"/>
      <c r="F82" s="2"/>
      <c r="G82" s="2"/>
      <c r="H82" s="2"/>
      <c r="I82" s="2"/>
      <c r="J82" s="2"/>
      <c r="K82" s="2"/>
      <c r="L82" s="2"/>
      <c r="M82" s="2"/>
      <c r="N82" s="2"/>
      <c r="O82" s="2"/>
      <c r="P82" s="2"/>
      <c r="Q82" s="2"/>
      <c r="R82" s="2"/>
      <c r="S82" s="2"/>
      <c r="T82" s="2"/>
      <c r="U82" s="2"/>
      <c r="V82" s="2"/>
      <c r="W82" s="2"/>
      <c r="X82" s="3"/>
      <c r="Y82" s="2"/>
      <c r="Z82" s="2"/>
      <c r="AA82" s="2"/>
      <c r="AB82" s="2"/>
      <c r="AC82" s="2"/>
      <c r="AD82" s="2"/>
      <c r="AE82" s="2"/>
      <c r="AF82" s="2"/>
      <c r="AG82" s="2"/>
      <c r="AH82" s="2"/>
      <c r="AI82" s="2"/>
      <c r="AJ82" s="2"/>
      <c r="AK82" s="2"/>
      <c r="AL82" s="2"/>
    </row>
    <row r="83">
      <c r="A83" s="1"/>
      <c r="B83" s="2"/>
      <c r="C83" s="2"/>
      <c r="D83" s="2"/>
      <c r="E83" s="2"/>
      <c r="F83" s="2"/>
      <c r="G83" s="2"/>
      <c r="H83" s="2"/>
      <c r="I83" s="2"/>
      <c r="J83" s="2"/>
      <c r="K83" s="2"/>
      <c r="L83" s="2"/>
      <c r="M83" s="2"/>
      <c r="N83" s="2"/>
      <c r="O83" s="2"/>
      <c r="P83" s="2"/>
      <c r="Q83" s="2"/>
      <c r="R83" s="2"/>
      <c r="S83" s="2"/>
      <c r="T83" s="2"/>
      <c r="U83" s="2"/>
      <c r="V83" s="2"/>
      <c r="W83" s="2"/>
      <c r="X83" s="3"/>
      <c r="Y83" s="2"/>
      <c r="Z83" s="2"/>
      <c r="AA83" s="2"/>
      <c r="AB83" s="2"/>
      <c r="AC83" s="2"/>
      <c r="AD83" s="2"/>
      <c r="AE83" s="2"/>
      <c r="AF83" s="2"/>
      <c r="AG83" s="2"/>
      <c r="AH83" s="2"/>
      <c r="AI83" s="2"/>
      <c r="AJ83" s="2"/>
      <c r="AK83" s="2"/>
      <c r="AL83" s="2"/>
    </row>
    <row r="84">
      <c r="A84" s="1"/>
      <c r="B84" s="2"/>
      <c r="C84" s="2"/>
      <c r="D84" s="2"/>
      <c r="E84" s="2"/>
      <c r="F84" s="2"/>
      <c r="G84" s="2"/>
      <c r="H84" s="2"/>
      <c r="I84" s="2"/>
      <c r="J84" s="2"/>
      <c r="K84" s="2"/>
      <c r="L84" s="2"/>
      <c r="M84" s="2"/>
      <c r="N84" s="2"/>
      <c r="O84" s="2"/>
      <c r="P84" s="2"/>
      <c r="Q84" s="2"/>
      <c r="R84" s="2"/>
      <c r="S84" s="2"/>
      <c r="T84" s="2"/>
      <c r="U84" s="2"/>
      <c r="V84" s="2"/>
      <c r="W84" s="2"/>
      <c r="X84" s="3"/>
      <c r="Y84" s="2"/>
      <c r="Z84" s="2"/>
      <c r="AA84" s="2"/>
      <c r="AB84" s="2"/>
      <c r="AC84" s="2"/>
      <c r="AD84" s="2"/>
      <c r="AE84" s="2"/>
      <c r="AF84" s="2"/>
      <c r="AG84" s="2"/>
      <c r="AH84" s="2"/>
      <c r="AI84" s="2"/>
      <c r="AJ84" s="2"/>
      <c r="AK84" s="2"/>
      <c r="AL84" s="2"/>
    </row>
    <row r="85">
      <c r="A85" s="1"/>
      <c r="B85" s="2"/>
      <c r="C85" s="2"/>
      <c r="D85" s="2"/>
      <c r="E85" s="2"/>
      <c r="F85" s="2"/>
      <c r="G85" s="2"/>
      <c r="H85" s="2"/>
      <c r="I85" s="2"/>
      <c r="J85" s="2"/>
      <c r="K85" s="2"/>
      <c r="L85" s="2"/>
      <c r="M85" s="2"/>
      <c r="N85" s="2"/>
      <c r="O85" s="2"/>
      <c r="P85" s="2"/>
      <c r="Q85" s="2"/>
      <c r="R85" s="2"/>
      <c r="S85" s="2"/>
      <c r="T85" s="2"/>
      <c r="U85" s="2"/>
      <c r="V85" s="2"/>
      <c r="W85" s="2"/>
      <c r="X85" s="3"/>
      <c r="Y85" s="2"/>
      <c r="Z85" s="2"/>
      <c r="AA85" s="2"/>
      <c r="AB85" s="2"/>
      <c r="AC85" s="2"/>
      <c r="AD85" s="2"/>
      <c r="AE85" s="2"/>
      <c r="AF85" s="2"/>
      <c r="AG85" s="2"/>
      <c r="AH85" s="2"/>
      <c r="AI85" s="2"/>
      <c r="AJ85" s="2"/>
      <c r="AK85" s="2"/>
      <c r="AL85" s="2"/>
    </row>
    <row r="86">
      <c r="A86" s="1"/>
      <c r="B86" s="2"/>
      <c r="C86" s="2"/>
      <c r="D86" s="2"/>
      <c r="E86" s="2"/>
      <c r="F86" s="2"/>
      <c r="G86" s="2"/>
      <c r="H86" s="2"/>
      <c r="I86" s="2"/>
      <c r="J86" s="2"/>
      <c r="K86" s="2"/>
      <c r="L86" s="2"/>
      <c r="M86" s="2"/>
      <c r="N86" s="2"/>
      <c r="O86" s="2"/>
      <c r="P86" s="2"/>
      <c r="Q86" s="2"/>
      <c r="R86" s="2"/>
      <c r="S86" s="2"/>
      <c r="T86" s="2"/>
      <c r="U86" s="2"/>
      <c r="V86" s="2"/>
      <c r="W86" s="2"/>
      <c r="X86" s="3"/>
      <c r="Y86" s="2"/>
      <c r="Z86" s="2"/>
      <c r="AA86" s="2"/>
      <c r="AB86" s="2"/>
      <c r="AC86" s="2"/>
      <c r="AD86" s="2"/>
      <c r="AE86" s="2"/>
      <c r="AF86" s="2"/>
      <c r="AG86" s="2"/>
      <c r="AH86" s="2"/>
      <c r="AI86" s="2"/>
      <c r="AJ86" s="2"/>
      <c r="AK86" s="2"/>
      <c r="AL86" s="2"/>
    </row>
    <row r="87">
      <c r="A87" s="1"/>
      <c r="B87" s="2"/>
      <c r="C87" s="2"/>
      <c r="D87" s="2"/>
      <c r="E87" s="2"/>
      <c r="F87" s="2"/>
      <c r="G87" s="2"/>
      <c r="H87" s="2"/>
      <c r="I87" s="2"/>
      <c r="J87" s="2"/>
      <c r="K87" s="2"/>
      <c r="L87" s="2"/>
      <c r="M87" s="2"/>
      <c r="N87" s="2"/>
      <c r="O87" s="2"/>
      <c r="P87" s="2"/>
      <c r="Q87" s="2"/>
      <c r="R87" s="2"/>
      <c r="S87" s="2"/>
      <c r="T87" s="2"/>
      <c r="U87" s="2"/>
      <c r="V87" s="2"/>
      <c r="W87" s="2"/>
      <c r="X87" s="3"/>
      <c r="Y87" s="2"/>
      <c r="Z87" s="2"/>
      <c r="AA87" s="2"/>
      <c r="AB87" s="2"/>
      <c r="AC87" s="2"/>
      <c r="AD87" s="2"/>
      <c r="AE87" s="2"/>
      <c r="AF87" s="2"/>
      <c r="AG87" s="2"/>
      <c r="AH87" s="2"/>
      <c r="AI87" s="2"/>
      <c r="AJ87" s="2"/>
      <c r="AK87" s="2"/>
      <c r="AL87" s="2"/>
    </row>
    <row r="88">
      <c r="A88" s="1"/>
      <c r="B88" s="2"/>
      <c r="C88" s="2"/>
      <c r="D88" s="2"/>
      <c r="E88" s="2"/>
      <c r="F88" s="2"/>
      <c r="G88" s="2"/>
      <c r="H88" s="2"/>
      <c r="I88" s="2"/>
      <c r="J88" s="2"/>
      <c r="K88" s="2"/>
      <c r="L88" s="2"/>
      <c r="M88" s="2"/>
      <c r="N88" s="2"/>
      <c r="O88" s="2"/>
      <c r="P88" s="2"/>
      <c r="Q88" s="2"/>
      <c r="R88" s="2"/>
      <c r="S88" s="2"/>
      <c r="T88" s="2"/>
      <c r="U88" s="2"/>
      <c r="V88" s="2"/>
      <c r="W88" s="2"/>
      <c r="X88" s="3"/>
      <c r="Y88" s="2"/>
      <c r="Z88" s="2"/>
      <c r="AA88" s="2"/>
      <c r="AB88" s="2"/>
      <c r="AC88" s="2"/>
      <c r="AD88" s="2"/>
      <c r="AE88" s="2"/>
      <c r="AF88" s="2"/>
      <c r="AG88" s="2"/>
      <c r="AH88" s="2"/>
      <c r="AI88" s="2"/>
      <c r="AJ88" s="2"/>
      <c r="AK88" s="2"/>
      <c r="AL88" s="2"/>
    </row>
    <row r="89">
      <c r="A89" s="1"/>
      <c r="B89" s="2"/>
      <c r="C89" s="2"/>
      <c r="D89" s="2"/>
      <c r="E89" s="2"/>
      <c r="F89" s="2"/>
      <c r="G89" s="2"/>
      <c r="H89" s="2"/>
      <c r="I89" s="2"/>
      <c r="J89" s="2"/>
      <c r="K89" s="2"/>
      <c r="L89" s="2"/>
      <c r="M89" s="2"/>
      <c r="N89" s="2"/>
      <c r="O89" s="2"/>
      <c r="P89" s="2"/>
      <c r="Q89" s="2"/>
      <c r="R89" s="2"/>
      <c r="S89" s="2"/>
      <c r="T89" s="2"/>
      <c r="U89" s="2"/>
      <c r="V89" s="2"/>
      <c r="W89" s="2"/>
      <c r="X89" s="3"/>
      <c r="Y89" s="2"/>
      <c r="Z89" s="2"/>
      <c r="AA89" s="2"/>
      <c r="AB89" s="2"/>
      <c r="AC89" s="2"/>
      <c r="AD89" s="2"/>
      <c r="AE89" s="2"/>
      <c r="AF89" s="2"/>
      <c r="AG89" s="2"/>
      <c r="AH89" s="2"/>
      <c r="AI89" s="2"/>
      <c r="AJ89" s="2"/>
      <c r="AK89" s="2"/>
      <c r="AL89" s="2"/>
    </row>
    <row r="90">
      <c r="A90" s="1"/>
      <c r="B90" s="2"/>
      <c r="C90" s="2"/>
      <c r="D90" s="2"/>
      <c r="E90" s="2"/>
      <c r="F90" s="2"/>
      <c r="G90" s="2"/>
      <c r="H90" s="2"/>
      <c r="I90" s="2"/>
      <c r="J90" s="2"/>
      <c r="K90" s="2"/>
      <c r="L90" s="2"/>
      <c r="M90" s="2"/>
      <c r="N90" s="2"/>
      <c r="O90" s="2"/>
      <c r="P90" s="2"/>
      <c r="Q90" s="2"/>
      <c r="R90" s="2"/>
      <c r="S90" s="2"/>
      <c r="T90" s="2"/>
      <c r="U90" s="2"/>
      <c r="V90" s="2"/>
      <c r="W90" s="2"/>
      <c r="X90" s="3"/>
      <c r="Y90" s="2"/>
      <c r="Z90" s="2"/>
      <c r="AA90" s="2"/>
      <c r="AB90" s="2"/>
      <c r="AC90" s="2"/>
      <c r="AD90" s="2"/>
      <c r="AE90" s="2"/>
      <c r="AF90" s="2"/>
      <c r="AG90" s="2"/>
      <c r="AH90" s="2"/>
      <c r="AI90" s="2"/>
      <c r="AJ90" s="2"/>
      <c r="AK90" s="2"/>
      <c r="AL90" s="2"/>
    </row>
    <row r="91">
      <c r="A91" s="1"/>
      <c r="B91" s="2"/>
      <c r="C91" s="2"/>
      <c r="D91" s="2"/>
      <c r="E91" s="2"/>
      <c r="F91" s="2"/>
      <c r="G91" s="2"/>
      <c r="H91" s="2"/>
      <c r="I91" s="2"/>
      <c r="J91" s="2"/>
      <c r="K91" s="2"/>
      <c r="L91" s="2"/>
      <c r="M91" s="2"/>
      <c r="N91" s="2"/>
      <c r="O91" s="2"/>
      <c r="P91" s="2"/>
      <c r="Q91" s="2"/>
      <c r="R91" s="2"/>
      <c r="S91" s="2"/>
      <c r="T91" s="2"/>
      <c r="U91" s="2"/>
      <c r="V91" s="2"/>
      <c r="W91" s="2"/>
      <c r="X91" s="3"/>
      <c r="Y91" s="2"/>
      <c r="Z91" s="2"/>
      <c r="AA91" s="2"/>
      <c r="AB91" s="2"/>
      <c r="AC91" s="2"/>
      <c r="AD91" s="2"/>
      <c r="AE91" s="2"/>
      <c r="AF91" s="2"/>
      <c r="AG91" s="2"/>
      <c r="AH91" s="2"/>
      <c r="AI91" s="2"/>
      <c r="AJ91" s="2"/>
      <c r="AK91" s="2"/>
      <c r="AL91" s="2"/>
    </row>
    <row r="92">
      <c r="A92" s="1"/>
      <c r="B92" s="2"/>
      <c r="C92" s="2"/>
      <c r="D92" s="2"/>
      <c r="E92" s="2"/>
      <c r="F92" s="2"/>
      <c r="G92" s="2"/>
      <c r="H92" s="2"/>
      <c r="I92" s="2"/>
      <c r="J92" s="2"/>
      <c r="K92" s="2"/>
      <c r="L92" s="2"/>
      <c r="M92" s="2"/>
      <c r="N92" s="2"/>
      <c r="O92" s="2"/>
      <c r="P92" s="2"/>
      <c r="Q92" s="2"/>
      <c r="R92" s="2"/>
      <c r="S92" s="2"/>
      <c r="T92" s="2"/>
      <c r="U92" s="2"/>
      <c r="V92" s="2"/>
      <c r="W92" s="2"/>
      <c r="X92" s="3"/>
      <c r="Y92" s="2"/>
      <c r="Z92" s="2"/>
      <c r="AA92" s="2"/>
      <c r="AB92" s="2"/>
      <c r="AC92" s="2"/>
      <c r="AD92" s="2"/>
      <c r="AE92" s="2"/>
      <c r="AF92" s="2"/>
      <c r="AG92" s="2"/>
      <c r="AH92" s="2"/>
      <c r="AI92" s="2"/>
      <c r="AJ92" s="2"/>
      <c r="AK92" s="2"/>
      <c r="AL92" s="2"/>
    </row>
    <row r="93">
      <c r="A93" s="1"/>
      <c r="B93" s="2"/>
      <c r="C93" s="2"/>
      <c r="D93" s="2"/>
      <c r="E93" s="2"/>
      <c r="F93" s="2"/>
      <c r="G93" s="2"/>
      <c r="H93" s="2"/>
      <c r="I93" s="2"/>
      <c r="J93" s="2"/>
      <c r="K93" s="2"/>
      <c r="L93" s="2"/>
      <c r="M93" s="2"/>
      <c r="N93" s="2"/>
      <c r="O93" s="2"/>
      <c r="P93" s="2"/>
      <c r="Q93" s="2"/>
      <c r="R93" s="2"/>
      <c r="S93" s="2"/>
      <c r="T93" s="2"/>
      <c r="U93" s="2"/>
      <c r="V93" s="2"/>
      <c r="W93" s="2"/>
      <c r="X93" s="3"/>
      <c r="Y93" s="2"/>
      <c r="Z93" s="2"/>
      <c r="AA93" s="2"/>
      <c r="AB93" s="2"/>
      <c r="AC93" s="2"/>
      <c r="AD93" s="2"/>
      <c r="AE93" s="2"/>
      <c r="AF93" s="2"/>
      <c r="AG93" s="2"/>
      <c r="AH93" s="2"/>
      <c r="AI93" s="2"/>
      <c r="AJ93" s="2"/>
      <c r="AK93" s="2"/>
      <c r="AL93" s="2"/>
    </row>
    <row r="94">
      <c r="A94" s="1"/>
      <c r="B94" s="2"/>
      <c r="C94" s="2"/>
      <c r="D94" s="2"/>
      <c r="E94" s="2"/>
      <c r="F94" s="2"/>
      <c r="G94" s="2"/>
      <c r="H94" s="2"/>
      <c r="I94" s="2"/>
      <c r="J94" s="2"/>
      <c r="K94" s="2"/>
      <c r="L94" s="2"/>
      <c r="M94" s="2"/>
      <c r="N94" s="2"/>
      <c r="O94" s="2"/>
      <c r="P94" s="2"/>
      <c r="Q94" s="2"/>
      <c r="R94" s="2"/>
      <c r="S94" s="2"/>
      <c r="T94" s="2"/>
      <c r="U94" s="2"/>
      <c r="V94" s="2"/>
      <c r="W94" s="2"/>
      <c r="X94" s="3"/>
      <c r="Y94" s="2"/>
      <c r="Z94" s="2"/>
      <c r="AA94" s="2"/>
      <c r="AB94" s="2"/>
      <c r="AC94" s="2"/>
      <c r="AD94" s="2"/>
      <c r="AE94" s="2"/>
      <c r="AF94" s="2"/>
      <c r="AG94" s="2"/>
      <c r="AH94" s="2"/>
      <c r="AI94" s="2"/>
      <c r="AJ94" s="2"/>
      <c r="AK94" s="2"/>
      <c r="AL94" s="2"/>
    </row>
    <row r="95">
      <c r="A95" s="1"/>
      <c r="B95" s="2"/>
      <c r="C95" s="2"/>
      <c r="D95" s="2"/>
      <c r="E95" s="2"/>
      <c r="F95" s="2"/>
      <c r="G95" s="2"/>
      <c r="H95" s="2"/>
      <c r="I95" s="2"/>
      <c r="J95" s="2"/>
      <c r="K95" s="2"/>
      <c r="L95" s="2"/>
      <c r="M95" s="2"/>
      <c r="N95" s="2"/>
      <c r="O95" s="2"/>
      <c r="P95" s="2"/>
      <c r="Q95" s="2"/>
      <c r="R95" s="2"/>
      <c r="S95" s="2"/>
      <c r="T95" s="2"/>
      <c r="U95" s="2"/>
      <c r="V95" s="2"/>
      <c r="W95" s="2"/>
      <c r="X95" s="3"/>
      <c r="Y95" s="2"/>
      <c r="Z95" s="2"/>
      <c r="AA95" s="2"/>
      <c r="AB95" s="2"/>
      <c r="AC95" s="2"/>
      <c r="AD95" s="2"/>
      <c r="AE95" s="2"/>
      <c r="AF95" s="2"/>
      <c r="AG95" s="2"/>
      <c r="AH95" s="2"/>
      <c r="AI95" s="2"/>
      <c r="AJ95" s="2"/>
      <c r="AK95" s="2"/>
      <c r="AL95" s="2"/>
    </row>
    <row r="96">
      <c r="A96" s="1"/>
      <c r="B96" s="2"/>
      <c r="C96" s="2"/>
      <c r="D96" s="2"/>
      <c r="E96" s="2"/>
      <c r="F96" s="2"/>
      <c r="G96" s="2"/>
      <c r="H96" s="2"/>
      <c r="I96" s="2"/>
      <c r="J96" s="2"/>
      <c r="K96" s="2"/>
      <c r="L96" s="2"/>
      <c r="M96" s="2"/>
      <c r="N96" s="2"/>
      <c r="O96" s="2"/>
      <c r="P96" s="2"/>
      <c r="Q96" s="2"/>
      <c r="R96" s="2"/>
      <c r="S96" s="2"/>
      <c r="T96" s="2"/>
      <c r="U96" s="2"/>
      <c r="V96" s="2"/>
      <c r="W96" s="2"/>
      <c r="X96" s="3"/>
      <c r="Y96" s="2"/>
      <c r="Z96" s="2"/>
      <c r="AA96" s="2"/>
      <c r="AB96" s="2"/>
      <c r="AC96" s="2"/>
      <c r="AD96" s="2"/>
      <c r="AE96" s="2"/>
      <c r="AF96" s="2"/>
      <c r="AG96" s="2"/>
      <c r="AH96" s="2"/>
      <c r="AI96" s="2"/>
      <c r="AJ96" s="2"/>
      <c r="AK96" s="2"/>
      <c r="AL96" s="2"/>
    </row>
    <row r="97">
      <c r="A97" s="1"/>
      <c r="B97" s="2"/>
      <c r="C97" s="2"/>
      <c r="D97" s="2"/>
      <c r="E97" s="2"/>
      <c r="F97" s="2"/>
      <c r="G97" s="2"/>
      <c r="H97" s="2"/>
      <c r="I97" s="2"/>
      <c r="J97" s="2"/>
      <c r="K97" s="2"/>
      <c r="L97" s="2"/>
      <c r="M97" s="2"/>
      <c r="N97" s="2"/>
      <c r="O97" s="2"/>
      <c r="P97" s="2"/>
      <c r="Q97" s="2"/>
      <c r="R97" s="2"/>
      <c r="S97" s="2"/>
      <c r="T97" s="2"/>
      <c r="U97" s="2"/>
      <c r="V97" s="2"/>
      <c r="W97" s="2"/>
      <c r="X97" s="3"/>
      <c r="Y97" s="2"/>
      <c r="Z97" s="2"/>
      <c r="AA97" s="2"/>
      <c r="AB97" s="2"/>
      <c r="AC97" s="2"/>
      <c r="AD97" s="2"/>
      <c r="AE97" s="2"/>
      <c r="AF97" s="2"/>
      <c r="AG97" s="2"/>
      <c r="AH97" s="2"/>
      <c r="AI97" s="2"/>
      <c r="AJ97" s="2"/>
      <c r="AK97" s="2"/>
      <c r="AL97" s="2"/>
    </row>
    <row r="98">
      <c r="A98" s="1"/>
      <c r="B98" s="2"/>
      <c r="C98" s="2"/>
      <c r="D98" s="2"/>
      <c r="E98" s="2"/>
      <c r="F98" s="2"/>
      <c r="G98" s="2"/>
      <c r="H98" s="2"/>
      <c r="I98" s="2"/>
      <c r="J98" s="2"/>
      <c r="K98" s="2"/>
      <c r="L98" s="2"/>
      <c r="M98" s="2"/>
      <c r="N98" s="2"/>
      <c r="O98" s="2"/>
      <c r="P98" s="2"/>
      <c r="Q98" s="2"/>
      <c r="R98" s="2"/>
      <c r="S98" s="2"/>
      <c r="T98" s="2"/>
      <c r="U98" s="2"/>
      <c r="V98" s="2"/>
      <c r="W98" s="2"/>
      <c r="X98" s="3"/>
      <c r="Y98" s="2"/>
      <c r="Z98" s="2"/>
      <c r="AA98" s="2"/>
      <c r="AB98" s="2"/>
      <c r="AC98" s="2"/>
      <c r="AD98" s="2"/>
      <c r="AE98" s="2"/>
      <c r="AF98" s="2"/>
      <c r="AG98" s="2"/>
      <c r="AH98" s="2"/>
      <c r="AI98" s="2"/>
      <c r="AJ98" s="2"/>
      <c r="AK98" s="2"/>
      <c r="AL98" s="2"/>
    </row>
    <row r="99">
      <c r="A99" s="1"/>
      <c r="B99" s="2"/>
      <c r="C99" s="2"/>
      <c r="D99" s="2"/>
      <c r="E99" s="2"/>
      <c r="F99" s="2"/>
      <c r="G99" s="2"/>
      <c r="H99" s="2"/>
      <c r="I99" s="2"/>
      <c r="J99" s="2"/>
      <c r="K99" s="2"/>
      <c r="L99" s="2"/>
      <c r="M99" s="2"/>
      <c r="N99" s="2"/>
      <c r="O99" s="2"/>
      <c r="P99" s="2"/>
      <c r="Q99" s="2"/>
      <c r="R99" s="2"/>
      <c r="S99" s="2"/>
      <c r="T99" s="2"/>
      <c r="U99" s="2"/>
      <c r="V99" s="2"/>
      <c r="W99" s="2"/>
      <c r="X99" s="3"/>
      <c r="Y99" s="2"/>
      <c r="Z99" s="2"/>
      <c r="AA99" s="2"/>
      <c r="AB99" s="2"/>
      <c r="AC99" s="2"/>
      <c r="AD99" s="2"/>
      <c r="AE99" s="2"/>
      <c r="AF99" s="2"/>
      <c r="AG99" s="2"/>
      <c r="AH99" s="2"/>
      <c r="AI99" s="2"/>
      <c r="AJ99" s="2"/>
      <c r="AK99" s="2"/>
      <c r="AL99" s="2"/>
    </row>
    <row r="100">
      <c r="A100" s="1"/>
      <c r="B100" s="2"/>
      <c r="C100" s="2"/>
      <c r="D100" s="2"/>
      <c r="E100" s="2"/>
      <c r="F100" s="2"/>
      <c r="G100" s="2"/>
      <c r="H100" s="2"/>
      <c r="I100" s="2"/>
      <c r="J100" s="2"/>
      <c r="K100" s="2"/>
      <c r="L100" s="2"/>
      <c r="M100" s="2"/>
      <c r="N100" s="2"/>
      <c r="O100" s="2"/>
      <c r="P100" s="2"/>
      <c r="Q100" s="2"/>
      <c r="R100" s="2"/>
      <c r="S100" s="2"/>
      <c r="T100" s="2"/>
      <c r="U100" s="2"/>
      <c r="V100" s="2"/>
      <c r="W100" s="2"/>
      <c r="X100" s="3"/>
      <c r="Y100" s="2"/>
      <c r="Z100" s="2"/>
      <c r="AA100" s="2"/>
      <c r="AB100" s="2"/>
      <c r="AC100" s="2"/>
      <c r="AD100" s="2"/>
      <c r="AE100" s="2"/>
      <c r="AF100" s="2"/>
      <c r="AG100" s="2"/>
      <c r="AH100" s="2"/>
      <c r="AI100" s="2"/>
      <c r="AJ100" s="2"/>
      <c r="AK100" s="2"/>
      <c r="AL100" s="2"/>
    </row>
    <row r="101">
      <c r="A101" s="1"/>
      <c r="B101" s="2"/>
      <c r="C101" s="2"/>
      <c r="D101" s="2"/>
      <c r="E101" s="2"/>
      <c r="F101" s="2"/>
      <c r="G101" s="2"/>
      <c r="H101" s="2"/>
      <c r="I101" s="2"/>
      <c r="J101" s="2"/>
      <c r="K101" s="2"/>
      <c r="L101" s="2"/>
      <c r="M101" s="2"/>
      <c r="N101" s="2"/>
      <c r="O101" s="2"/>
      <c r="P101" s="2"/>
      <c r="Q101" s="2"/>
      <c r="R101" s="2"/>
      <c r="S101" s="2"/>
      <c r="T101" s="2"/>
      <c r="U101" s="2"/>
      <c r="V101" s="2"/>
      <c r="W101" s="2"/>
      <c r="X101" s="3"/>
      <c r="Y101" s="2"/>
      <c r="Z101" s="2"/>
      <c r="AA101" s="2"/>
      <c r="AB101" s="2"/>
      <c r="AC101" s="2"/>
      <c r="AD101" s="2"/>
      <c r="AE101" s="2"/>
      <c r="AF101" s="2"/>
      <c r="AG101" s="2"/>
      <c r="AH101" s="2"/>
      <c r="AI101" s="2"/>
      <c r="AJ101" s="2"/>
      <c r="AK101" s="2"/>
      <c r="AL101" s="2"/>
    </row>
    <row r="102">
      <c r="A102" s="1"/>
      <c r="B102" s="2"/>
      <c r="C102" s="2"/>
      <c r="D102" s="2"/>
      <c r="E102" s="2"/>
      <c r="F102" s="2"/>
      <c r="G102" s="2"/>
      <c r="H102" s="2"/>
      <c r="I102" s="2"/>
      <c r="J102" s="2"/>
      <c r="K102" s="2"/>
      <c r="L102" s="2"/>
      <c r="M102" s="2"/>
      <c r="N102" s="2"/>
      <c r="O102" s="2"/>
      <c r="P102" s="2"/>
      <c r="Q102" s="2"/>
      <c r="R102" s="2"/>
      <c r="S102" s="2"/>
      <c r="T102" s="2"/>
      <c r="U102" s="2"/>
      <c r="V102" s="2"/>
      <c r="W102" s="2"/>
      <c r="X102" s="3"/>
      <c r="Y102" s="2"/>
      <c r="Z102" s="2"/>
      <c r="AA102" s="2"/>
      <c r="AB102" s="2"/>
      <c r="AC102" s="2"/>
      <c r="AD102" s="2"/>
      <c r="AE102" s="2"/>
      <c r="AF102" s="2"/>
      <c r="AG102" s="2"/>
      <c r="AH102" s="2"/>
      <c r="AI102" s="2"/>
      <c r="AJ102" s="2"/>
      <c r="AK102" s="2"/>
      <c r="AL102" s="2"/>
    </row>
    <row r="103">
      <c r="A103" s="1"/>
      <c r="B103" s="2"/>
      <c r="C103" s="2"/>
      <c r="D103" s="2"/>
      <c r="E103" s="2"/>
      <c r="F103" s="2"/>
      <c r="G103" s="2"/>
      <c r="H103" s="2"/>
      <c r="I103" s="2"/>
      <c r="J103" s="2"/>
      <c r="K103" s="2"/>
      <c r="L103" s="2"/>
      <c r="M103" s="2"/>
      <c r="N103" s="2"/>
      <c r="O103" s="2"/>
      <c r="P103" s="2"/>
      <c r="Q103" s="2"/>
      <c r="R103" s="2"/>
      <c r="S103" s="2"/>
      <c r="T103" s="2"/>
      <c r="U103" s="2"/>
      <c r="V103" s="2"/>
      <c r="W103" s="2"/>
      <c r="X103" s="3"/>
      <c r="Y103" s="2"/>
      <c r="Z103" s="2"/>
      <c r="AA103" s="2"/>
      <c r="AB103" s="2"/>
      <c r="AC103" s="2"/>
      <c r="AD103" s="2"/>
      <c r="AE103" s="2"/>
      <c r="AF103" s="2"/>
      <c r="AG103" s="2"/>
      <c r="AH103" s="2"/>
      <c r="AI103" s="2"/>
      <c r="AJ103" s="2"/>
      <c r="AK103" s="2"/>
      <c r="AL103" s="2"/>
    </row>
    <row r="104">
      <c r="A104" s="1"/>
      <c r="B104" s="2"/>
      <c r="C104" s="2"/>
      <c r="D104" s="2"/>
      <c r="E104" s="2"/>
      <c r="F104" s="2"/>
      <c r="G104" s="2"/>
      <c r="H104" s="2"/>
      <c r="I104" s="2"/>
      <c r="J104" s="2"/>
      <c r="K104" s="2"/>
      <c r="L104" s="2"/>
      <c r="M104" s="2"/>
      <c r="N104" s="2"/>
      <c r="O104" s="2"/>
      <c r="P104" s="2"/>
      <c r="Q104" s="2"/>
      <c r="R104" s="2"/>
      <c r="S104" s="2"/>
      <c r="T104" s="2"/>
      <c r="U104" s="2"/>
      <c r="V104" s="2"/>
      <c r="W104" s="2"/>
      <c r="X104" s="3"/>
      <c r="Y104" s="2"/>
      <c r="Z104" s="2"/>
      <c r="AA104" s="2"/>
      <c r="AB104" s="2"/>
      <c r="AC104" s="2"/>
      <c r="AD104" s="2"/>
      <c r="AE104" s="2"/>
      <c r="AF104" s="2"/>
      <c r="AG104" s="2"/>
      <c r="AH104" s="2"/>
      <c r="AI104" s="2"/>
      <c r="AJ104" s="2"/>
      <c r="AK104" s="2"/>
      <c r="AL104" s="2"/>
    </row>
    <row r="105">
      <c r="A105" s="1"/>
      <c r="B105" s="2"/>
      <c r="C105" s="2"/>
      <c r="D105" s="2"/>
      <c r="E105" s="2"/>
      <c r="F105" s="2"/>
      <c r="G105" s="2"/>
      <c r="H105" s="2"/>
      <c r="I105" s="2"/>
      <c r="J105" s="2"/>
      <c r="K105" s="2"/>
      <c r="L105" s="2"/>
      <c r="M105" s="2"/>
      <c r="N105" s="2"/>
      <c r="O105" s="2"/>
      <c r="P105" s="2"/>
      <c r="Q105" s="2"/>
      <c r="R105" s="2"/>
      <c r="S105" s="2"/>
      <c r="T105" s="2"/>
      <c r="U105" s="2"/>
      <c r="V105" s="2"/>
      <c r="W105" s="2"/>
      <c r="X105" s="3"/>
      <c r="Y105" s="2"/>
      <c r="Z105" s="2"/>
      <c r="AA105" s="2"/>
      <c r="AB105" s="2"/>
      <c r="AC105" s="2"/>
      <c r="AD105" s="2"/>
      <c r="AE105" s="2"/>
      <c r="AF105" s="2"/>
      <c r="AG105" s="2"/>
      <c r="AH105" s="2"/>
      <c r="AI105" s="2"/>
      <c r="AJ105" s="2"/>
      <c r="AK105" s="2"/>
      <c r="AL105" s="2"/>
    </row>
    <row r="106">
      <c r="A106" s="1"/>
      <c r="B106" s="2"/>
      <c r="C106" s="2"/>
      <c r="D106" s="2"/>
      <c r="E106" s="2"/>
      <c r="F106" s="2"/>
      <c r="G106" s="2"/>
      <c r="H106" s="2"/>
      <c r="I106" s="2"/>
      <c r="J106" s="2"/>
      <c r="K106" s="2"/>
      <c r="L106" s="2"/>
      <c r="M106" s="2"/>
      <c r="N106" s="2"/>
      <c r="O106" s="2"/>
      <c r="P106" s="2"/>
      <c r="Q106" s="2"/>
      <c r="R106" s="2"/>
      <c r="S106" s="2"/>
      <c r="T106" s="2"/>
      <c r="U106" s="2"/>
      <c r="V106" s="2"/>
      <c r="W106" s="2"/>
      <c r="X106" s="3"/>
      <c r="Y106" s="2"/>
      <c r="Z106" s="2"/>
      <c r="AA106" s="2"/>
      <c r="AB106" s="2"/>
      <c r="AC106" s="2"/>
      <c r="AD106" s="2"/>
      <c r="AE106" s="2"/>
      <c r="AF106" s="2"/>
      <c r="AG106" s="2"/>
      <c r="AH106" s="2"/>
      <c r="AI106" s="2"/>
      <c r="AJ106" s="2"/>
      <c r="AK106" s="2"/>
      <c r="AL106" s="2"/>
    </row>
    <row r="107">
      <c r="A107" s="1"/>
      <c r="B107" s="2"/>
      <c r="C107" s="2"/>
      <c r="D107" s="2"/>
      <c r="E107" s="2"/>
      <c r="F107" s="2"/>
      <c r="G107" s="2"/>
      <c r="H107" s="2"/>
      <c r="I107" s="2"/>
      <c r="J107" s="2"/>
      <c r="K107" s="2"/>
      <c r="L107" s="2"/>
      <c r="M107" s="2"/>
      <c r="N107" s="2"/>
      <c r="O107" s="2"/>
      <c r="P107" s="2"/>
      <c r="Q107" s="2"/>
      <c r="R107" s="2"/>
      <c r="S107" s="2"/>
      <c r="T107" s="2"/>
      <c r="U107" s="2"/>
      <c r="V107" s="2"/>
      <c r="W107" s="2"/>
      <c r="X107" s="3"/>
      <c r="Y107" s="2"/>
      <c r="Z107" s="2"/>
      <c r="AA107" s="2"/>
      <c r="AB107" s="2"/>
      <c r="AC107" s="2"/>
      <c r="AD107" s="2"/>
      <c r="AE107" s="2"/>
      <c r="AF107" s="2"/>
      <c r="AG107" s="2"/>
      <c r="AH107" s="2"/>
      <c r="AI107" s="2"/>
      <c r="AJ107" s="2"/>
      <c r="AK107" s="2"/>
      <c r="AL107" s="2"/>
    </row>
    <row r="108">
      <c r="A108" s="1"/>
      <c r="B108" s="2"/>
      <c r="C108" s="2"/>
      <c r="D108" s="2"/>
      <c r="E108" s="2"/>
      <c r="F108" s="2"/>
      <c r="G108" s="2"/>
      <c r="H108" s="2"/>
      <c r="I108" s="2"/>
      <c r="J108" s="2"/>
      <c r="K108" s="2"/>
      <c r="L108" s="2"/>
      <c r="M108" s="2"/>
      <c r="N108" s="2"/>
      <c r="O108" s="2"/>
      <c r="P108" s="2"/>
      <c r="Q108" s="2"/>
      <c r="R108" s="2"/>
      <c r="S108" s="2"/>
      <c r="T108" s="2"/>
      <c r="U108" s="2"/>
      <c r="V108" s="2"/>
      <c r="W108" s="2"/>
      <c r="X108" s="3"/>
      <c r="Y108" s="2"/>
      <c r="Z108" s="2"/>
      <c r="AA108" s="2"/>
      <c r="AB108" s="2"/>
      <c r="AC108" s="2"/>
      <c r="AD108" s="2"/>
      <c r="AE108" s="2"/>
      <c r="AF108" s="2"/>
      <c r="AG108" s="2"/>
      <c r="AH108" s="2"/>
      <c r="AI108" s="2"/>
      <c r="AJ108" s="2"/>
      <c r="AK108" s="2"/>
      <c r="AL108" s="2"/>
    </row>
    <row r="109">
      <c r="A109" s="1"/>
      <c r="B109" s="2"/>
      <c r="C109" s="2"/>
      <c r="D109" s="2"/>
      <c r="E109" s="2"/>
      <c r="F109" s="2"/>
      <c r="G109" s="2"/>
      <c r="H109" s="2"/>
      <c r="I109" s="2"/>
      <c r="J109" s="2"/>
      <c r="K109" s="2"/>
      <c r="L109" s="2"/>
      <c r="M109" s="2"/>
      <c r="N109" s="2"/>
      <c r="O109" s="2"/>
      <c r="P109" s="2"/>
      <c r="Q109" s="2"/>
      <c r="R109" s="2"/>
      <c r="S109" s="2"/>
      <c r="T109" s="2"/>
      <c r="U109" s="2"/>
      <c r="V109" s="2"/>
      <c r="W109" s="2"/>
      <c r="X109" s="3"/>
      <c r="Y109" s="2"/>
      <c r="Z109" s="2"/>
      <c r="AA109" s="2"/>
      <c r="AB109" s="2"/>
      <c r="AC109" s="2"/>
      <c r="AD109" s="2"/>
      <c r="AE109" s="2"/>
      <c r="AF109" s="2"/>
      <c r="AG109" s="2"/>
      <c r="AH109" s="2"/>
      <c r="AI109" s="2"/>
      <c r="AJ109" s="2"/>
      <c r="AK109" s="2"/>
      <c r="AL109" s="2"/>
    </row>
    <row r="110">
      <c r="A110" s="1"/>
      <c r="B110" s="2"/>
      <c r="C110" s="2"/>
      <c r="D110" s="2"/>
      <c r="E110" s="2"/>
      <c r="F110" s="2"/>
      <c r="G110" s="2"/>
      <c r="H110" s="2"/>
      <c r="I110" s="2"/>
      <c r="J110" s="2"/>
      <c r="K110" s="2"/>
      <c r="L110" s="2"/>
      <c r="M110" s="2"/>
      <c r="N110" s="2"/>
      <c r="O110" s="2"/>
      <c r="P110" s="2"/>
      <c r="Q110" s="2"/>
      <c r="R110" s="2"/>
      <c r="S110" s="2"/>
      <c r="T110" s="2"/>
      <c r="U110" s="2"/>
      <c r="V110" s="2"/>
      <c r="W110" s="2"/>
      <c r="X110" s="3"/>
      <c r="Y110" s="2"/>
      <c r="Z110" s="2"/>
      <c r="AA110" s="2"/>
      <c r="AB110" s="2"/>
      <c r="AC110" s="2"/>
      <c r="AD110" s="2"/>
      <c r="AE110" s="2"/>
      <c r="AF110" s="2"/>
      <c r="AG110" s="2"/>
      <c r="AH110" s="2"/>
      <c r="AI110" s="2"/>
      <c r="AJ110" s="2"/>
      <c r="AK110" s="2"/>
      <c r="AL110" s="2"/>
    </row>
    <row r="111">
      <c r="A111" s="1"/>
      <c r="B111" s="2"/>
      <c r="C111" s="2"/>
      <c r="D111" s="2"/>
      <c r="E111" s="2"/>
      <c r="F111" s="2"/>
      <c r="G111" s="2"/>
      <c r="H111" s="2"/>
      <c r="I111" s="2"/>
      <c r="J111" s="2"/>
      <c r="K111" s="2"/>
      <c r="L111" s="2"/>
      <c r="M111" s="2"/>
      <c r="N111" s="2"/>
      <c r="O111" s="2"/>
      <c r="P111" s="2"/>
      <c r="Q111" s="2"/>
      <c r="R111" s="2"/>
      <c r="S111" s="2"/>
      <c r="T111" s="2"/>
      <c r="U111" s="2"/>
      <c r="V111" s="2"/>
      <c r="W111" s="2"/>
      <c r="X111" s="3"/>
      <c r="Y111" s="2"/>
      <c r="Z111" s="2"/>
      <c r="AA111" s="2"/>
      <c r="AB111" s="2"/>
      <c r="AC111" s="2"/>
      <c r="AD111" s="2"/>
      <c r="AE111" s="2"/>
      <c r="AF111" s="2"/>
      <c r="AG111" s="2"/>
      <c r="AH111" s="2"/>
      <c r="AI111" s="2"/>
      <c r="AJ111" s="2"/>
      <c r="AK111" s="2"/>
      <c r="AL111" s="2"/>
    </row>
    <row r="112">
      <c r="A112" s="1"/>
      <c r="B112" s="2"/>
      <c r="C112" s="2"/>
      <c r="D112" s="2"/>
      <c r="E112" s="2"/>
      <c r="F112" s="2"/>
      <c r="G112" s="2"/>
      <c r="H112" s="2"/>
      <c r="I112" s="2"/>
      <c r="J112" s="2"/>
      <c r="K112" s="2"/>
      <c r="L112" s="2"/>
      <c r="M112" s="2"/>
      <c r="N112" s="2"/>
      <c r="O112" s="2"/>
      <c r="P112" s="2"/>
      <c r="Q112" s="2"/>
      <c r="R112" s="2"/>
      <c r="S112" s="2"/>
      <c r="T112" s="2"/>
      <c r="U112" s="2"/>
      <c r="V112" s="2"/>
      <c r="W112" s="2"/>
      <c r="X112" s="3"/>
      <c r="Y112" s="2"/>
      <c r="Z112" s="2"/>
      <c r="AA112" s="2"/>
      <c r="AB112" s="2"/>
      <c r="AC112" s="2"/>
      <c r="AD112" s="2"/>
      <c r="AE112" s="2"/>
      <c r="AF112" s="2"/>
      <c r="AG112" s="2"/>
      <c r="AH112" s="2"/>
      <c r="AI112" s="2"/>
      <c r="AJ112" s="2"/>
      <c r="AK112" s="2"/>
      <c r="AL112" s="2"/>
    </row>
    <row r="113">
      <c r="A113" s="1"/>
      <c r="B113" s="2"/>
      <c r="C113" s="2"/>
      <c r="D113" s="2"/>
      <c r="E113" s="2"/>
      <c r="F113" s="2"/>
      <c r="G113" s="2"/>
      <c r="H113" s="2"/>
      <c r="I113" s="2"/>
      <c r="J113" s="2"/>
      <c r="K113" s="2"/>
      <c r="L113" s="2"/>
      <c r="M113" s="2"/>
      <c r="N113" s="2"/>
      <c r="O113" s="2"/>
      <c r="P113" s="2"/>
      <c r="Q113" s="2"/>
      <c r="R113" s="2"/>
      <c r="S113" s="2"/>
      <c r="T113" s="2"/>
      <c r="U113" s="2"/>
      <c r="V113" s="2"/>
      <c r="W113" s="2"/>
      <c r="X113" s="3"/>
      <c r="Y113" s="2"/>
      <c r="Z113" s="2"/>
      <c r="AA113" s="2"/>
      <c r="AB113" s="2"/>
      <c r="AC113" s="2"/>
      <c r="AD113" s="2"/>
      <c r="AE113" s="2"/>
      <c r="AF113" s="2"/>
      <c r="AG113" s="2"/>
      <c r="AH113" s="2"/>
      <c r="AI113" s="2"/>
      <c r="AJ113" s="2"/>
      <c r="AK113" s="2"/>
      <c r="AL113" s="2"/>
    </row>
    <row r="114">
      <c r="A114" s="1"/>
      <c r="B114" s="2"/>
      <c r="C114" s="2"/>
      <c r="D114" s="2"/>
      <c r="E114" s="2"/>
      <c r="F114" s="2"/>
      <c r="G114" s="2"/>
      <c r="H114" s="2"/>
      <c r="I114" s="2"/>
      <c r="J114" s="2"/>
      <c r="K114" s="2"/>
      <c r="L114" s="2"/>
      <c r="M114" s="2"/>
      <c r="N114" s="2"/>
      <c r="O114" s="2"/>
      <c r="P114" s="2"/>
      <c r="Q114" s="2"/>
      <c r="R114" s="2"/>
      <c r="S114" s="2"/>
      <c r="T114" s="2"/>
      <c r="U114" s="2"/>
      <c r="V114" s="2"/>
      <c r="W114" s="2"/>
      <c r="X114" s="3"/>
      <c r="Y114" s="2"/>
      <c r="Z114" s="2"/>
      <c r="AA114" s="2"/>
      <c r="AB114" s="2"/>
      <c r="AC114" s="2"/>
      <c r="AD114" s="2"/>
      <c r="AE114" s="2"/>
      <c r="AF114" s="2"/>
      <c r="AG114" s="2"/>
      <c r="AH114" s="2"/>
      <c r="AI114" s="2"/>
      <c r="AJ114" s="2"/>
      <c r="AK114" s="2"/>
      <c r="AL114" s="2"/>
    </row>
    <row r="115">
      <c r="A115" s="1"/>
      <c r="B115" s="2"/>
      <c r="C115" s="2"/>
      <c r="D115" s="2"/>
      <c r="E115" s="2"/>
      <c r="F115" s="2"/>
      <c r="G115" s="2"/>
      <c r="H115" s="2"/>
      <c r="I115" s="2"/>
      <c r="J115" s="2"/>
      <c r="K115" s="2"/>
      <c r="L115" s="2"/>
      <c r="M115" s="2"/>
      <c r="N115" s="2"/>
      <c r="O115" s="2"/>
      <c r="P115" s="2"/>
      <c r="Q115" s="2"/>
      <c r="R115" s="2"/>
      <c r="S115" s="2"/>
      <c r="T115" s="2"/>
      <c r="U115" s="2"/>
      <c r="V115" s="2"/>
      <c r="W115" s="2"/>
      <c r="X115" s="3"/>
      <c r="Y115" s="2"/>
      <c r="Z115" s="2"/>
      <c r="AA115" s="2"/>
      <c r="AB115" s="2"/>
      <c r="AC115" s="2"/>
      <c r="AD115" s="2"/>
      <c r="AE115" s="2"/>
      <c r="AF115" s="2"/>
      <c r="AG115" s="2"/>
      <c r="AH115" s="2"/>
      <c r="AI115" s="2"/>
      <c r="AJ115" s="2"/>
      <c r="AK115" s="2"/>
      <c r="AL115" s="2"/>
    </row>
    <row r="116">
      <c r="A116" s="1"/>
      <c r="B116" s="2"/>
      <c r="C116" s="2"/>
      <c r="D116" s="2"/>
      <c r="E116" s="2"/>
      <c r="F116" s="2"/>
      <c r="G116" s="2"/>
      <c r="H116" s="2"/>
      <c r="I116" s="2"/>
      <c r="J116" s="2"/>
      <c r="K116" s="2"/>
      <c r="L116" s="2"/>
      <c r="M116" s="2"/>
      <c r="N116" s="2"/>
      <c r="O116" s="2"/>
      <c r="P116" s="2"/>
      <c r="Q116" s="2"/>
      <c r="R116" s="2"/>
      <c r="S116" s="2"/>
      <c r="T116" s="2"/>
      <c r="U116" s="2"/>
      <c r="V116" s="2"/>
      <c r="W116" s="2"/>
      <c r="X116" s="3"/>
      <c r="Y116" s="2"/>
      <c r="Z116" s="2"/>
      <c r="AA116" s="2"/>
      <c r="AB116" s="2"/>
      <c r="AC116" s="2"/>
      <c r="AD116" s="2"/>
      <c r="AE116" s="2"/>
      <c r="AF116" s="2"/>
      <c r="AG116" s="2"/>
      <c r="AH116" s="2"/>
      <c r="AI116" s="2"/>
      <c r="AJ116" s="2"/>
      <c r="AK116" s="2"/>
      <c r="AL116" s="2"/>
    </row>
    <row r="117">
      <c r="A117" s="1"/>
      <c r="B117" s="2"/>
      <c r="C117" s="2"/>
      <c r="D117" s="2"/>
      <c r="E117" s="2"/>
      <c r="F117" s="2"/>
      <c r="G117" s="2"/>
      <c r="H117" s="2"/>
      <c r="I117" s="2"/>
      <c r="J117" s="2"/>
      <c r="K117" s="2"/>
      <c r="L117" s="2"/>
      <c r="M117" s="2"/>
      <c r="N117" s="2"/>
      <c r="O117" s="2"/>
      <c r="P117" s="2"/>
      <c r="Q117" s="2"/>
      <c r="R117" s="2"/>
      <c r="S117" s="2"/>
      <c r="T117" s="2"/>
      <c r="U117" s="2"/>
      <c r="V117" s="2"/>
      <c r="W117" s="2"/>
      <c r="X117" s="3"/>
      <c r="Y117" s="2"/>
      <c r="Z117" s="2"/>
      <c r="AA117" s="2"/>
      <c r="AB117" s="2"/>
      <c r="AC117" s="2"/>
      <c r="AD117" s="2"/>
      <c r="AE117" s="2"/>
      <c r="AF117" s="2"/>
      <c r="AG117" s="2"/>
      <c r="AH117" s="2"/>
      <c r="AI117" s="2"/>
      <c r="AJ117" s="2"/>
      <c r="AK117" s="2"/>
      <c r="AL117" s="2"/>
    </row>
    <row r="118">
      <c r="A118" s="1"/>
      <c r="B118" s="2"/>
      <c r="C118" s="2"/>
      <c r="D118" s="2"/>
      <c r="E118" s="2"/>
      <c r="F118" s="2"/>
      <c r="G118" s="2"/>
      <c r="H118" s="2"/>
      <c r="I118" s="2"/>
      <c r="J118" s="2"/>
      <c r="K118" s="2"/>
      <c r="L118" s="2"/>
      <c r="M118" s="2"/>
      <c r="N118" s="2"/>
      <c r="O118" s="2"/>
      <c r="P118" s="2"/>
      <c r="Q118" s="2"/>
      <c r="R118" s="2"/>
      <c r="S118" s="2"/>
      <c r="T118" s="2"/>
      <c r="U118" s="2"/>
      <c r="V118" s="2"/>
      <c r="W118" s="2"/>
      <c r="X118" s="3"/>
      <c r="Y118" s="2"/>
      <c r="Z118" s="2"/>
      <c r="AA118" s="2"/>
      <c r="AB118" s="2"/>
      <c r="AC118" s="2"/>
      <c r="AD118" s="2"/>
      <c r="AE118" s="2"/>
      <c r="AF118" s="2"/>
      <c r="AG118" s="2"/>
      <c r="AH118" s="2"/>
      <c r="AI118" s="2"/>
      <c r="AJ118" s="2"/>
      <c r="AK118" s="2"/>
      <c r="AL118" s="2"/>
    </row>
    <row r="119">
      <c r="A119" s="1"/>
      <c r="B119" s="2"/>
      <c r="C119" s="2"/>
      <c r="D119" s="2"/>
      <c r="E119" s="2"/>
      <c r="F119" s="2"/>
      <c r="G119" s="2"/>
      <c r="H119" s="2"/>
      <c r="I119" s="2"/>
      <c r="J119" s="2"/>
      <c r="K119" s="2"/>
      <c r="L119" s="2"/>
      <c r="M119" s="2"/>
      <c r="N119" s="2"/>
      <c r="O119" s="2"/>
      <c r="P119" s="2"/>
      <c r="Q119" s="2"/>
      <c r="R119" s="2"/>
      <c r="S119" s="2"/>
      <c r="T119" s="2"/>
      <c r="U119" s="2"/>
      <c r="V119" s="2"/>
      <c r="W119" s="2"/>
      <c r="X119" s="3"/>
      <c r="Y119" s="2"/>
      <c r="Z119" s="2"/>
      <c r="AA119" s="2"/>
      <c r="AB119" s="2"/>
      <c r="AC119" s="2"/>
      <c r="AD119" s="2"/>
      <c r="AE119" s="2"/>
      <c r="AF119" s="2"/>
      <c r="AG119" s="2"/>
      <c r="AH119" s="2"/>
      <c r="AI119" s="2"/>
      <c r="AJ119" s="2"/>
      <c r="AK119" s="2"/>
      <c r="AL119" s="2"/>
    </row>
    <row r="120">
      <c r="A120" s="1"/>
      <c r="B120" s="2"/>
      <c r="C120" s="2"/>
      <c r="D120" s="2"/>
      <c r="E120" s="2"/>
      <c r="F120" s="2"/>
      <c r="G120" s="2"/>
      <c r="H120" s="2"/>
      <c r="I120" s="2"/>
      <c r="J120" s="2"/>
      <c r="K120" s="2"/>
      <c r="L120" s="2"/>
      <c r="M120" s="2"/>
      <c r="N120" s="2"/>
      <c r="O120" s="2"/>
      <c r="P120" s="2"/>
      <c r="Q120" s="2"/>
      <c r="R120" s="2"/>
      <c r="S120" s="2"/>
      <c r="T120" s="2"/>
      <c r="U120" s="2"/>
      <c r="V120" s="2"/>
      <c r="W120" s="2"/>
      <c r="X120" s="3"/>
      <c r="Y120" s="2"/>
      <c r="Z120" s="2"/>
      <c r="AA120" s="2"/>
      <c r="AB120" s="2"/>
      <c r="AC120" s="2"/>
      <c r="AD120" s="2"/>
      <c r="AE120" s="2"/>
      <c r="AF120" s="2"/>
      <c r="AG120" s="2"/>
      <c r="AH120" s="2"/>
      <c r="AI120" s="2"/>
      <c r="AJ120" s="2"/>
      <c r="AK120" s="2"/>
      <c r="AL120" s="2"/>
    </row>
    <row r="121">
      <c r="A121" s="1"/>
      <c r="B121" s="2"/>
      <c r="C121" s="2"/>
      <c r="D121" s="2"/>
      <c r="E121" s="2"/>
      <c r="F121" s="2"/>
      <c r="G121" s="2"/>
      <c r="H121" s="2"/>
      <c r="I121" s="2"/>
      <c r="J121" s="2"/>
      <c r="K121" s="2"/>
      <c r="L121" s="2"/>
      <c r="M121" s="2"/>
      <c r="N121" s="2"/>
      <c r="O121" s="2"/>
      <c r="P121" s="2"/>
      <c r="Q121" s="2"/>
      <c r="R121" s="2"/>
      <c r="S121" s="2"/>
      <c r="T121" s="2"/>
      <c r="U121" s="2"/>
      <c r="V121" s="2"/>
      <c r="W121" s="2"/>
      <c r="X121" s="3"/>
      <c r="Y121" s="2"/>
      <c r="Z121" s="2"/>
      <c r="AA121" s="2"/>
      <c r="AB121" s="2"/>
      <c r="AC121" s="2"/>
      <c r="AD121" s="2"/>
      <c r="AE121" s="2"/>
      <c r="AF121" s="2"/>
      <c r="AG121" s="2"/>
      <c r="AH121" s="2"/>
      <c r="AI121" s="2"/>
      <c r="AJ121" s="2"/>
      <c r="AK121" s="2"/>
      <c r="AL121" s="2"/>
    </row>
    <row r="122">
      <c r="A122" s="1"/>
      <c r="B122" s="2"/>
      <c r="C122" s="2"/>
      <c r="D122" s="2"/>
      <c r="E122" s="2"/>
      <c r="F122" s="2"/>
      <c r="G122" s="2"/>
      <c r="H122" s="2"/>
      <c r="I122" s="2"/>
      <c r="J122" s="2"/>
      <c r="K122" s="2"/>
      <c r="L122" s="2"/>
      <c r="M122" s="2"/>
      <c r="N122" s="2"/>
      <c r="O122" s="2"/>
      <c r="P122" s="2"/>
      <c r="Q122" s="2"/>
      <c r="R122" s="2"/>
      <c r="S122" s="2"/>
      <c r="T122" s="2"/>
      <c r="U122" s="2"/>
      <c r="V122" s="2"/>
      <c r="W122" s="2"/>
      <c r="X122" s="3"/>
      <c r="Y122" s="2"/>
      <c r="Z122" s="2"/>
      <c r="AA122" s="2"/>
      <c r="AB122" s="2"/>
      <c r="AC122" s="2"/>
      <c r="AD122" s="2"/>
      <c r="AE122" s="2"/>
      <c r="AF122" s="2"/>
      <c r="AG122" s="2"/>
      <c r="AH122" s="2"/>
      <c r="AI122" s="2"/>
      <c r="AJ122" s="2"/>
      <c r="AK122" s="2"/>
      <c r="AL122" s="2"/>
    </row>
    <row r="123">
      <c r="A123" s="1"/>
      <c r="B123" s="2"/>
      <c r="C123" s="2"/>
      <c r="D123" s="2"/>
      <c r="E123" s="2"/>
      <c r="F123" s="2"/>
      <c r="G123" s="2"/>
      <c r="H123" s="2"/>
      <c r="I123" s="2"/>
      <c r="J123" s="2"/>
      <c r="K123" s="2"/>
      <c r="L123" s="2"/>
      <c r="M123" s="2"/>
      <c r="N123" s="2"/>
      <c r="O123" s="2"/>
      <c r="P123" s="2"/>
      <c r="Q123" s="2"/>
      <c r="R123" s="2"/>
      <c r="S123" s="2"/>
      <c r="T123" s="2"/>
      <c r="U123" s="2"/>
      <c r="V123" s="2"/>
      <c r="W123" s="2"/>
      <c r="X123" s="3"/>
      <c r="Y123" s="2"/>
      <c r="Z123" s="2"/>
      <c r="AA123" s="2"/>
      <c r="AB123" s="2"/>
      <c r="AC123" s="2"/>
      <c r="AD123" s="2"/>
      <c r="AE123" s="2"/>
      <c r="AF123" s="2"/>
      <c r="AG123" s="2"/>
      <c r="AH123" s="2"/>
      <c r="AI123" s="2"/>
      <c r="AJ123" s="2"/>
      <c r="AK123" s="2"/>
      <c r="AL123" s="2"/>
    </row>
    <row r="124">
      <c r="A124" s="1"/>
      <c r="B124" s="2"/>
      <c r="C124" s="2"/>
      <c r="D124" s="2"/>
      <c r="E124" s="2"/>
      <c r="F124" s="2"/>
      <c r="G124" s="2"/>
      <c r="H124" s="2"/>
      <c r="I124" s="2"/>
      <c r="J124" s="2"/>
      <c r="K124" s="2"/>
      <c r="L124" s="2"/>
      <c r="M124" s="2"/>
      <c r="N124" s="2"/>
      <c r="O124" s="2"/>
      <c r="P124" s="2"/>
      <c r="Q124" s="2"/>
      <c r="R124" s="2"/>
      <c r="S124" s="2"/>
      <c r="T124" s="2"/>
      <c r="U124" s="2"/>
      <c r="V124" s="2"/>
      <c r="W124" s="2"/>
      <c r="X124" s="3"/>
      <c r="Y124" s="2"/>
      <c r="Z124" s="2"/>
      <c r="AA124" s="2"/>
      <c r="AB124" s="2"/>
      <c r="AC124" s="2"/>
      <c r="AD124" s="2"/>
      <c r="AE124" s="2"/>
      <c r="AF124" s="2"/>
      <c r="AG124" s="2"/>
      <c r="AH124" s="2"/>
      <c r="AI124" s="2"/>
      <c r="AJ124" s="2"/>
      <c r="AK124" s="2"/>
      <c r="AL124" s="2"/>
    </row>
    <row r="125">
      <c r="A125" s="1"/>
      <c r="B125" s="2"/>
      <c r="C125" s="2"/>
      <c r="D125" s="2"/>
      <c r="E125" s="2"/>
      <c r="F125" s="2"/>
      <c r="G125" s="2"/>
      <c r="H125" s="2"/>
      <c r="I125" s="2"/>
      <c r="J125" s="2"/>
      <c r="K125" s="2"/>
      <c r="L125" s="2"/>
      <c r="M125" s="2"/>
      <c r="N125" s="2"/>
      <c r="O125" s="2"/>
      <c r="P125" s="2"/>
      <c r="Q125" s="2"/>
      <c r="R125" s="2"/>
      <c r="S125" s="2"/>
      <c r="T125" s="2"/>
      <c r="U125" s="2"/>
      <c r="V125" s="2"/>
      <c r="W125" s="2"/>
      <c r="X125" s="3"/>
      <c r="Y125" s="2"/>
      <c r="Z125" s="2"/>
      <c r="AA125" s="2"/>
      <c r="AB125" s="2"/>
      <c r="AC125" s="2"/>
      <c r="AD125" s="2"/>
      <c r="AE125" s="2"/>
      <c r="AF125" s="2"/>
      <c r="AG125" s="2"/>
      <c r="AH125" s="2"/>
      <c r="AI125" s="2"/>
      <c r="AJ125" s="2"/>
      <c r="AK125" s="2"/>
      <c r="AL125" s="2"/>
    </row>
    <row r="126">
      <c r="A126" s="1"/>
      <c r="B126" s="2"/>
      <c r="C126" s="2"/>
      <c r="D126" s="2"/>
      <c r="E126" s="2"/>
      <c r="F126" s="2"/>
      <c r="G126" s="2"/>
      <c r="H126" s="2"/>
      <c r="I126" s="2"/>
      <c r="J126" s="2"/>
      <c r="K126" s="2"/>
      <c r="L126" s="2"/>
      <c r="M126" s="2"/>
      <c r="N126" s="2"/>
      <c r="O126" s="2"/>
      <c r="P126" s="2"/>
      <c r="Q126" s="2"/>
      <c r="R126" s="2"/>
      <c r="S126" s="2"/>
      <c r="T126" s="2"/>
      <c r="U126" s="2"/>
      <c r="V126" s="2"/>
      <c r="W126" s="2"/>
      <c r="X126" s="3"/>
      <c r="Y126" s="2"/>
      <c r="Z126" s="2"/>
      <c r="AA126" s="2"/>
      <c r="AB126" s="2"/>
      <c r="AC126" s="2"/>
      <c r="AD126" s="2"/>
      <c r="AE126" s="2"/>
      <c r="AF126" s="2"/>
      <c r="AG126" s="2"/>
      <c r="AH126" s="2"/>
      <c r="AI126" s="2"/>
      <c r="AJ126" s="2"/>
      <c r="AK126" s="2"/>
      <c r="AL126" s="2"/>
    </row>
    <row r="127">
      <c r="A127" s="1"/>
      <c r="B127" s="2"/>
      <c r="C127" s="2"/>
      <c r="D127" s="2"/>
      <c r="E127" s="2"/>
      <c r="F127" s="2"/>
      <c r="G127" s="2"/>
      <c r="H127" s="2"/>
      <c r="I127" s="2"/>
      <c r="J127" s="2"/>
      <c r="K127" s="2"/>
      <c r="L127" s="2"/>
      <c r="M127" s="2"/>
      <c r="N127" s="2"/>
      <c r="O127" s="2"/>
      <c r="P127" s="2"/>
      <c r="Q127" s="2"/>
      <c r="R127" s="2"/>
      <c r="S127" s="2"/>
      <c r="T127" s="2"/>
      <c r="U127" s="2"/>
      <c r="V127" s="2"/>
      <c r="W127" s="2"/>
      <c r="X127" s="3"/>
      <c r="Y127" s="2"/>
      <c r="Z127" s="2"/>
      <c r="AA127" s="2"/>
      <c r="AB127" s="2"/>
      <c r="AC127" s="2"/>
      <c r="AD127" s="2"/>
      <c r="AE127" s="2"/>
      <c r="AF127" s="2"/>
      <c r="AG127" s="2"/>
      <c r="AH127" s="2"/>
      <c r="AI127" s="2"/>
      <c r="AJ127" s="2"/>
      <c r="AK127" s="2"/>
      <c r="AL127" s="2"/>
    </row>
    <row r="128">
      <c r="A128" s="1"/>
      <c r="B128" s="2"/>
      <c r="C128" s="2"/>
      <c r="D128" s="2"/>
      <c r="E128" s="2"/>
      <c r="F128" s="2"/>
      <c r="G128" s="2"/>
      <c r="H128" s="2"/>
      <c r="I128" s="2"/>
      <c r="J128" s="2"/>
      <c r="K128" s="2"/>
      <c r="L128" s="2"/>
      <c r="M128" s="2"/>
      <c r="N128" s="2"/>
      <c r="O128" s="2"/>
      <c r="P128" s="2"/>
      <c r="Q128" s="2"/>
      <c r="R128" s="2"/>
      <c r="S128" s="2"/>
      <c r="T128" s="2"/>
      <c r="U128" s="2"/>
      <c r="V128" s="2"/>
      <c r="W128" s="2"/>
      <c r="X128" s="3"/>
      <c r="Y128" s="2"/>
      <c r="Z128" s="2"/>
      <c r="AA128" s="2"/>
      <c r="AB128" s="2"/>
      <c r="AC128" s="2"/>
      <c r="AD128" s="2"/>
      <c r="AE128" s="2"/>
      <c r="AF128" s="2"/>
      <c r="AG128" s="2"/>
      <c r="AH128" s="2"/>
      <c r="AI128" s="2"/>
      <c r="AJ128" s="2"/>
      <c r="AK128" s="2"/>
      <c r="AL128" s="2"/>
    </row>
    <row r="129">
      <c r="A129" s="1"/>
      <c r="B129" s="2"/>
      <c r="C129" s="2"/>
      <c r="D129" s="2"/>
      <c r="E129" s="2"/>
      <c r="F129" s="2"/>
      <c r="G129" s="2"/>
      <c r="H129" s="2"/>
      <c r="I129" s="2"/>
      <c r="J129" s="2"/>
      <c r="K129" s="2"/>
      <c r="L129" s="2"/>
      <c r="M129" s="2"/>
      <c r="N129" s="2"/>
      <c r="O129" s="2"/>
      <c r="P129" s="2"/>
      <c r="Q129" s="2"/>
      <c r="R129" s="2"/>
      <c r="S129" s="2"/>
      <c r="T129" s="2"/>
      <c r="U129" s="2"/>
      <c r="V129" s="2"/>
      <c r="W129" s="2"/>
      <c r="X129" s="3"/>
      <c r="Y129" s="2"/>
      <c r="Z129" s="2"/>
      <c r="AA129" s="2"/>
      <c r="AB129" s="2"/>
      <c r="AC129" s="2"/>
      <c r="AD129" s="2"/>
      <c r="AE129" s="2"/>
      <c r="AF129" s="2"/>
      <c r="AG129" s="2"/>
      <c r="AH129" s="2"/>
      <c r="AI129" s="2"/>
      <c r="AJ129" s="2"/>
      <c r="AK129" s="2"/>
      <c r="AL129" s="2"/>
    </row>
    <row r="130">
      <c r="A130" s="1"/>
      <c r="B130" s="2"/>
      <c r="C130" s="2"/>
      <c r="D130" s="2"/>
      <c r="E130" s="2"/>
      <c r="F130" s="2"/>
      <c r="G130" s="2"/>
      <c r="H130" s="2"/>
      <c r="I130" s="2"/>
      <c r="J130" s="2"/>
      <c r="K130" s="2"/>
      <c r="L130" s="2"/>
      <c r="M130" s="2"/>
      <c r="N130" s="2"/>
      <c r="O130" s="2"/>
      <c r="P130" s="2"/>
      <c r="Q130" s="2"/>
      <c r="R130" s="2"/>
      <c r="S130" s="2"/>
      <c r="T130" s="2"/>
      <c r="U130" s="2"/>
      <c r="V130" s="2"/>
      <c r="W130" s="2"/>
      <c r="X130" s="3"/>
      <c r="Y130" s="2"/>
      <c r="Z130" s="2"/>
      <c r="AA130" s="2"/>
      <c r="AB130" s="2"/>
      <c r="AC130" s="2"/>
      <c r="AD130" s="2"/>
      <c r="AE130" s="2"/>
      <c r="AF130" s="2"/>
      <c r="AG130" s="2"/>
      <c r="AH130" s="2"/>
      <c r="AI130" s="2"/>
      <c r="AJ130" s="2"/>
      <c r="AK130" s="2"/>
      <c r="AL130" s="2"/>
    </row>
    <row r="131">
      <c r="A131" s="1"/>
      <c r="B131" s="2"/>
      <c r="C131" s="2"/>
      <c r="D131" s="2"/>
      <c r="E131" s="2"/>
      <c r="F131" s="2"/>
      <c r="G131" s="2"/>
      <c r="H131" s="2"/>
      <c r="I131" s="2"/>
      <c r="J131" s="2"/>
      <c r="K131" s="2"/>
      <c r="L131" s="2"/>
      <c r="M131" s="2"/>
      <c r="N131" s="2"/>
      <c r="O131" s="2"/>
      <c r="P131" s="2"/>
      <c r="Q131" s="2"/>
      <c r="R131" s="2"/>
      <c r="S131" s="2"/>
      <c r="T131" s="2"/>
      <c r="U131" s="2"/>
      <c r="V131" s="2"/>
      <c r="W131" s="2"/>
      <c r="X131" s="3"/>
      <c r="Y131" s="2"/>
      <c r="Z131" s="2"/>
      <c r="AA131" s="2"/>
      <c r="AB131" s="2"/>
      <c r="AC131" s="2"/>
      <c r="AD131" s="2"/>
      <c r="AE131" s="2"/>
      <c r="AF131" s="2"/>
      <c r="AG131" s="2"/>
      <c r="AH131" s="2"/>
      <c r="AI131" s="2"/>
      <c r="AJ131" s="2"/>
      <c r="AK131" s="2"/>
      <c r="AL131" s="2"/>
    </row>
    <row r="132">
      <c r="A132" s="1"/>
      <c r="B132" s="2"/>
      <c r="C132" s="2"/>
      <c r="D132" s="2"/>
      <c r="E132" s="2"/>
      <c r="F132" s="2"/>
      <c r="G132" s="2"/>
      <c r="H132" s="2"/>
      <c r="I132" s="2"/>
      <c r="J132" s="2"/>
      <c r="K132" s="2"/>
      <c r="L132" s="2"/>
      <c r="M132" s="2"/>
      <c r="N132" s="2"/>
      <c r="O132" s="2"/>
      <c r="P132" s="2"/>
      <c r="Q132" s="2"/>
      <c r="R132" s="2"/>
      <c r="S132" s="2"/>
      <c r="T132" s="2"/>
      <c r="U132" s="2"/>
      <c r="V132" s="2"/>
      <c r="W132" s="2"/>
      <c r="X132" s="3"/>
      <c r="Y132" s="2"/>
      <c r="Z132" s="2"/>
      <c r="AA132" s="2"/>
      <c r="AB132" s="2"/>
      <c r="AC132" s="2"/>
      <c r="AD132" s="2"/>
      <c r="AE132" s="2"/>
      <c r="AF132" s="2"/>
      <c r="AG132" s="2"/>
      <c r="AH132" s="2"/>
      <c r="AI132" s="2"/>
      <c r="AJ132" s="2"/>
      <c r="AK132" s="2"/>
      <c r="AL132" s="2"/>
    </row>
    <row r="133">
      <c r="A133" s="1"/>
      <c r="B133" s="2"/>
      <c r="C133" s="2"/>
      <c r="D133" s="2"/>
      <c r="E133" s="2"/>
      <c r="F133" s="2"/>
      <c r="G133" s="2"/>
      <c r="H133" s="2"/>
      <c r="I133" s="2"/>
      <c r="J133" s="2"/>
      <c r="K133" s="2"/>
      <c r="L133" s="2"/>
      <c r="M133" s="2"/>
      <c r="N133" s="2"/>
      <c r="O133" s="2"/>
      <c r="P133" s="2"/>
      <c r="Q133" s="2"/>
      <c r="R133" s="2"/>
      <c r="S133" s="2"/>
      <c r="T133" s="2"/>
      <c r="U133" s="2"/>
      <c r="V133" s="2"/>
      <c r="W133" s="2"/>
      <c r="X133" s="3"/>
      <c r="Y133" s="2"/>
      <c r="Z133" s="2"/>
      <c r="AA133" s="2"/>
      <c r="AB133" s="2"/>
      <c r="AC133" s="2"/>
      <c r="AD133" s="2"/>
      <c r="AE133" s="2"/>
      <c r="AF133" s="2"/>
      <c r="AG133" s="2"/>
      <c r="AH133" s="2"/>
      <c r="AI133" s="2"/>
      <c r="AJ133" s="2"/>
      <c r="AK133" s="2"/>
      <c r="AL133" s="2"/>
    </row>
    <row r="134">
      <c r="A134" s="1"/>
      <c r="B134" s="2"/>
      <c r="C134" s="2"/>
      <c r="D134" s="2"/>
      <c r="E134" s="2"/>
      <c r="F134" s="2"/>
      <c r="G134" s="2"/>
      <c r="H134" s="2"/>
      <c r="I134" s="2"/>
      <c r="J134" s="2"/>
      <c r="K134" s="2"/>
      <c r="L134" s="2"/>
      <c r="M134" s="2"/>
      <c r="N134" s="2"/>
      <c r="O134" s="2"/>
      <c r="P134" s="2"/>
      <c r="Q134" s="2"/>
      <c r="R134" s="2"/>
      <c r="S134" s="2"/>
      <c r="T134" s="2"/>
      <c r="U134" s="2"/>
      <c r="V134" s="2"/>
      <c r="W134" s="2"/>
      <c r="X134" s="3"/>
      <c r="Y134" s="2"/>
      <c r="Z134" s="2"/>
      <c r="AA134" s="2"/>
      <c r="AB134" s="2"/>
      <c r="AC134" s="2"/>
      <c r="AD134" s="2"/>
      <c r="AE134" s="2"/>
      <c r="AF134" s="2"/>
      <c r="AG134" s="2"/>
      <c r="AH134" s="2"/>
      <c r="AI134" s="2"/>
      <c r="AJ134" s="2"/>
      <c r="AK134" s="2"/>
      <c r="AL134" s="2"/>
    </row>
    <row r="135">
      <c r="A135" s="1"/>
      <c r="B135" s="2"/>
      <c r="C135" s="2"/>
      <c r="D135" s="2"/>
      <c r="E135" s="2"/>
      <c r="F135" s="2"/>
      <c r="G135" s="2"/>
      <c r="H135" s="2"/>
      <c r="I135" s="2"/>
      <c r="J135" s="2"/>
      <c r="K135" s="2"/>
      <c r="L135" s="2"/>
      <c r="M135" s="2"/>
      <c r="N135" s="2"/>
      <c r="O135" s="2"/>
      <c r="P135" s="2"/>
      <c r="Q135" s="2"/>
      <c r="R135" s="2"/>
      <c r="S135" s="2"/>
      <c r="T135" s="2"/>
      <c r="U135" s="2"/>
      <c r="V135" s="2"/>
      <c r="W135" s="2"/>
      <c r="X135" s="3"/>
      <c r="Y135" s="2"/>
      <c r="Z135" s="2"/>
      <c r="AA135" s="2"/>
      <c r="AB135" s="2"/>
      <c r="AC135" s="2"/>
      <c r="AD135" s="2"/>
      <c r="AE135" s="2"/>
      <c r="AF135" s="2"/>
      <c r="AG135" s="2"/>
      <c r="AH135" s="2"/>
      <c r="AI135" s="2"/>
      <c r="AJ135" s="2"/>
      <c r="AK135" s="2"/>
      <c r="AL135" s="2"/>
    </row>
    <row r="136">
      <c r="A136" s="1"/>
      <c r="B136" s="2"/>
      <c r="C136" s="2"/>
      <c r="D136" s="2"/>
      <c r="E136" s="2"/>
      <c r="F136" s="2"/>
      <c r="G136" s="2"/>
      <c r="H136" s="2"/>
      <c r="I136" s="2"/>
      <c r="J136" s="2"/>
      <c r="K136" s="2"/>
      <c r="L136" s="2"/>
      <c r="M136" s="2"/>
      <c r="N136" s="2"/>
      <c r="O136" s="2"/>
      <c r="P136" s="2"/>
      <c r="Q136" s="2"/>
      <c r="R136" s="2"/>
      <c r="S136" s="2"/>
      <c r="T136" s="2"/>
      <c r="U136" s="2"/>
      <c r="V136" s="2"/>
      <c r="W136" s="2"/>
      <c r="X136" s="3"/>
      <c r="Y136" s="2"/>
      <c r="Z136" s="2"/>
      <c r="AA136" s="2"/>
      <c r="AB136" s="2"/>
      <c r="AC136" s="2"/>
      <c r="AD136" s="2"/>
      <c r="AE136" s="2"/>
      <c r="AF136" s="2"/>
      <c r="AG136" s="2"/>
      <c r="AH136" s="2"/>
      <c r="AI136" s="2"/>
      <c r="AJ136" s="2"/>
      <c r="AK136" s="2"/>
      <c r="AL136" s="2"/>
    </row>
    <row r="137">
      <c r="A137" s="1"/>
      <c r="B137" s="2"/>
      <c r="C137" s="2"/>
      <c r="D137" s="2"/>
      <c r="E137" s="2"/>
      <c r="F137" s="2"/>
      <c r="G137" s="2"/>
      <c r="H137" s="2"/>
      <c r="I137" s="2"/>
      <c r="J137" s="2"/>
      <c r="K137" s="2"/>
      <c r="L137" s="2"/>
      <c r="M137" s="2"/>
      <c r="N137" s="2"/>
      <c r="O137" s="2"/>
      <c r="P137" s="2"/>
      <c r="Q137" s="2"/>
      <c r="R137" s="2"/>
      <c r="S137" s="2"/>
      <c r="T137" s="2"/>
      <c r="U137" s="2"/>
      <c r="V137" s="2"/>
      <c r="W137" s="2"/>
      <c r="X137" s="3"/>
      <c r="Y137" s="2"/>
      <c r="Z137" s="2"/>
      <c r="AA137" s="2"/>
      <c r="AB137" s="2"/>
      <c r="AC137" s="2"/>
      <c r="AD137" s="2"/>
      <c r="AE137" s="2"/>
      <c r="AF137" s="2"/>
      <c r="AG137" s="2"/>
      <c r="AH137" s="2"/>
      <c r="AI137" s="2"/>
      <c r="AJ137" s="2"/>
      <c r="AK137" s="2"/>
      <c r="AL137" s="2"/>
    </row>
    <row r="138">
      <c r="A138" s="1"/>
      <c r="B138" s="2"/>
      <c r="C138" s="2"/>
      <c r="D138" s="2"/>
      <c r="E138" s="2"/>
      <c r="F138" s="2"/>
      <c r="G138" s="2"/>
      <c r="H138" s="2"/>
      <c r="I138" s="2"/>
      <c r="J138" s="2"/>
      <c r="K138" s="2"/>
      <c r="L138" s="2"/>
      <c r="M138" s="2"/>
      <c r="N138" s="2"/>
      <c r="O138" s="2"/>
      <c r="P138" s="2"/>
      <c r="Q138" s="2"/>
      <c r="R138" s="2"/>
      <c r="S138" s="2"/>
      <c r="T138" s="2"/>
      <c r="U138" s="2"/>
      <c r="V138" s="2"/>
      <c r="W138" s="2"/>
      <c r="X138" s="3"/>
      <c r="Y138" s="2"/>
      <c r="Z138" s="2"/>
      <c r="AA138" s="2"/>
      <c r="AB138" s="2"/>
      <c r="AC138" s="2"/>
      <c r="AD138" s="2"/>
      <c r="AE138" s="2"/>
      <c r="AF138" s="2"/>
      <c r="AG138" s="2"/>
      <c r="AH138" s="2"/>
      <c r="AI138" s="2"/>
      <c r="AJ138" s="2"/>
      <c r="AK138" s="2"/>
      <c r="AL138" s="2"/>
    </row>
    <row r="139">
      <c r="A139" s="1"/>
      <c r="B139" s="2"/>
      <c r="C139" s="2"/>
      <c r="D139" s="2"/>
      <c r="E139" s="2"/>
      <c r="F139" s="2"/>
      <c r="G139" s="2"/>
      <c r="H139" s="2"/>
      <c r="I139" s="2"/>
      <c r="J139" s="2"/>
      <c r="K139" s="2"/>
      <c r="L139" s="2"/>
      <c r="M139" s="2"/>
      <c r="N139" s="2"/>
      <c r="O139" s="2"/>
      <c r="P139" s="2"/>
      <c r="Q139" s="2"/>
      <c r="R139" s="2"/>
      <c r="S139" s="2"/>
      <c r="T139" s="2"/>
      <c r="U139" s="2"/>
      <c r="V139" s="2"/>
      <c r="W139" s="2"/>
      <c r="X139" s="3"/>
      <c r="Y139" s="2"/>
      <c r="Z139" s="2"/>
      <c r="AA139" s="2"/>
      <c r="AB139" s="2"/>
      <c r="AC139" s="2"/>
      <c r="AD139" s="2"/>
      <c r="AE139" s="2"/>
      <c r="AF139" s="2"/>
      <c r="AG139" s="2"/>
      <c r="AH139" s="2"/>
      <c r="AI139" s="2"/>
      <c r="AJ139" s="2"/>
      <c r="AK139" s="2"/>
      <c r="AL139" s="2"/>
    </row>
    <row r="140">
      <c r="A140" s="1"/>
      <c r="B140" s="2"/>
      <c r="C140" s="2"/>
      <c r="D140" s="2"/>
      <c r="E140" s="2"/>
      <c r="F140" s="2"/>
      <c r="G140" s="2"/>
      <c r="H140" s="2"/>
      <c r="I140" s="2"/>
      <c r="J140" s="2"/>
      <c r="K140" s="2"/>
      <c r="L140" s="2"/>
      <c r="M140" s="2"/>
      <c r="N140" s="2"/>
      <c r="O140" s="2"/>
      <c r="P140" s="2"/>
      <c r="Q140" s="2"/>
      <c r="R140" s="2"/>
      <c r="S140" s="2"/>
      <c r="T140" s="2"/>
      <c r="U140" s="2"/>
      <c r="V140" s="2"/>
      <c r="W140" s="2"/>
      <c r="X140" s="3"/>
      <c r="Y140" s="2"/>
      <c r="Z140" s="2"/>
      <c r="AA140" s="2"/>
      <c r="AB140" s="2"/>
      <c r="AC140" s="2"/>
      <c r="AD140" s="2"/>
      <c r="AE140" s="2"/>
      <c r="AF140" s="2"/>
      <c r="AG140" s="2"/>
      <c r="AH140" s="2"/>
      <c r="AI140" s="2"/>
      <c r="AJ140" s="2"/>
      <c r="AK140" s="2"/>
      <c r="AL140" s="2"/>
    </row>
    <row r="141">
      <c r="A141" s="1"/>
      <c r="B141" s="2"/>
      <c r="C141" s="2"/>
      <c r="D141" s="2"/>
      <c r="E141" s="2"/>
      <c r="F141" s="2"/>
      <c r="G141" s="2"/>
      <c r="H141" s="2"/>
      <c r="I141" s="2"/>
      <c r="J141" s="2"/>
      <c r="K141" s="2"/>
      <c r="L141" s="2"/>
      <c r="M141" s="2"/>
      <c r="N141" s="2"/>
      <c r="O141" s="2"/>
      <c r="P141" s="2"/>
      <c r="Q141" s="2"/>
      <c r="R141" s="2"/>
      <c r="S141" s="2"/>
      <c r="T141" s="2"/>
      <c r="U141" s="2"/>
      <c r="V141" s="2"/>
      <c r="W141" s="2"/>
      <c r="X141" s="3"/>
      <c r="Y141" s="2"/>
      <c r="Z141" s="2"/>
      <c r="AA141" s="2"/>
      <c r="AB141" s="2"/>
      <c r="AC141" s="2"/>
      <c r="AD141" s="2"/>
      <c r="AE141" s="2"/>
      <c r="AF141" s="2"/>
      <c r="AG141" s="2"/>
      <c r="AH141" s="2"/>
      <c r="AI141" s="2"/>
      <c r="AJ141" s="2"/>
      <c r="AK141" s="2"/>
      <c r="AL141" s="2"/>
    </row>
    <row r="142">
      <c r="A142" s="1"/>
      <c r="B142" s="2"/>
      <c r="C142" s="2"/>
      <c r="D142" s="2"/>
      <c r="E142" s="2"/>
      <c r="F142" s="2"/>
      <c r="G142" s="2"/>
      <c r="H142" s="2"/>
      <c r="I142" s="2"/>
      <c r="J142" s="2"/>
      <c r="K142" s="2"/>
      <c r="L142" s="2"/>
      <c r="M142" s="2"/>
      <c r="N142" s="2"/>
      <c r="O142" s="2"/>
      <c r="P142" s="2"/>
      <c r="Q142" s="2"/>
      <c r="R142" s="2"/>
      <c r="S142" s="2"/>
      <c r="T142" s="2"/>
      <c r="U142" s="2"/>
      <c r="V142" s="2"/>
      <c r="W142" s="2"/>
      <c r="X142" s="3"/>
      <c r="Y142" s="2"/>
      <c r="Z142" s="2"/>
      <c r="AA142" s="2"/>
      <c r="AB142" s="2"/>
      <c r="AC142" s="2"/>
      <c r="AD142" s="2"/>
      <c r="AE142" s="2"/>
      <c r="AF142" s="2"/>
      <c r="AG142" s="2"/>
      <c r="AH142" s="2"/>
      <c r="AI142" s="2"/>
      <c r="AJ142" s="2"/>
      <c r="AK142" s="2"/>
      <c r="AL142" s="2"/>
    </row>
    <row r="143">
      <c r="A143" s="1"/>
      <c r="B143" s="2"/>
      <c r="C143" s="2"/>
      <c r="D143" s="2"/>
      <c r="E143" s="2"/>
      <c r="F143" s="2"/>
      <c r="G143" s="2"/>
      <c r="H143" s="2"/>
      <c r="I143" s="2"/>
      <c r="J143" s="2"/>
      <c r="K143" s="2"/>
      <c r="L143" s="2"/>
      <c r="M143" s="2"/>
      <c r="N143" s="2"/>
      <c r="O143" s="2"/>
      <c r="P143" s="2"/>
      <c r="Q143" s="2"/>
      <c r="R143" s="2"/>
      <c r="S143" s="2"/>
      <c r="T143" s="2"/>
      <c r="U143" s="2"/>
      <c r="V143" s="2"/>
      <c r="W143" s="2"/>
      <c r="X143" s="3"/>
      <c r="Y143" s="2"/>
      <c r="Z143" s="2"/>
      <c r="AA143" s="2"/>
      <c r="AB143" s="2"/>
      <c r="AC143" s="2"/>
      <c r="AD143" s="2"/>
      <c r="AE143" s="2"/>
      <c r="AF143" s="2"/>
      <c r="AG143" s="2"/>
      <c r="AH143" s="2"/>
      <c r="AI143" s="2"/>
      <c r="AJ143" s="2"/>
      <c r="AK143" s="2"/>
      <c r="AL143" s="2"/>
    </row>
    <row r="144">
      <c r="A144" s="1"/>
      <c r="B144" s="2"/>
      <c r="C144" s="2"/>
      <c r="D144" s="2"/>
      <c r="E144" s="2"/>
      <c r="F144" s="2"/>
      <c r="G144" s="2"/>
      <c r="H144" s="2"/>
      <c r="I144" s="2"/>
      <c r="J144" s="2"/>
      <c r="K144" s="2"/>
      <c r="L144" s="2"/>
      <c r="M144" s="2"/>
      <c r="N144" s="2"/>
      <c r="O144" s="2"/>
      <c r="P144" s="2"/>
      <c r="Q144" s="2"/>
      <c r="R144" s="2"/>
      <c r="S144" s="2"/>
      <c r="T144" s="2"/>
      <c r="U144" s="2"/>
      <c r="V144" s="2"/>
      <c r="W144" s="2"/>
      <c r="X144" s="3"/>
      <c r="Y144" s="2"/>
      <c r="Z144" s="2"/>
      <c r="AA144" s="2"/>
      <c r="AB144" s="2"/>
      <c r="AC144" s="2"/>
      <c r="AD144" s="2"/>
      <c r="AE144" s="2"/>
      <c r="AF144" s="2"/>
      <c r="AG144" s="2"/>
      <c r="AH144" s="2"/>
      <c r="AI144" s="2"/>
      <c r="AJ144" s="2"/>
      <c r="AK144" s="2"/>
      <c r="AL144" s="2"/>
    </row>
    <row r="145">
      <c r="A145" s="1"/>
      <c r="B145" s="2"/>
      <c r="C145" s="2"/>
      <c r="D145" s="2"/>
      <c r="E145" s="2"/>
      <c r="F145" s="2"/>
      <c r="G145" s="2"/>
      <c r="H145" s="2"/>
      <c r="I145" s="2"/>
      <c r="J145" s="2"/>
      <c r="K145" s="2"/>
      <c r="L145" s="2"/>
      <c r="M145" s="2"/>
      <c r="N145" s="2"/>
      <c r="O145" s="2"/>
      <c r="P145" s="2"/>
      <c r="Q145" s="2"/>
      <c r="R145" s="2"/>
      <c r="S145" s="2"/>
      <c r="T145" s="2"/>
      <c r="U145" s="2"/>
      <c r="V145" s="2"/>
      <c r="W145" s="2"/>
      <c r="X145" s="3"/>
      <c r="Y145" s="2"/>
      <c r="Z145" s="2"/>
      <c r="AA145" s="2"/>
      <c r="AB145" s="2"/>
      <c r="AC145" s="2"/>
      <c r="AD145" s="2"/>
      <c r="AE145" s="2"/>
      <c r="AF145" s="2"/>
      <c r="AG145" s="2"/>
      <c r="AH145" s="2"/>
      <c r="AI145" s="2"/>
      <c r="AJ145" s="2"/>
      <c r="AK145" s="2"/>
      <c r="AL145" s="2"/>
    </row>
    <row r="146">
      <c r="A146" s="1"/>
      <c r="B146" s="2"/>
      <c r="C146" s="2"/>
      <c r="D146" s="2"/>
      <c r="E146" s="2"/>
      <c r="F146" s="2"/>
      <c r="G146" s="2"/>
      <c r="H146" s="2"/>
      <c r="I146" s="2"/>
      <c r="J146" s="2"/>
      <c r="K146" s="2"/>
      <c r="L146" s="2"/>
      <c r="M146" s="2"/>
      <c r="N146" s="2"/>
      <c r="O146" s="2"/>
      <c r="P146" s="2"/>
      <c r="Q146" s="2"/>
      <c r="R146" s="2"/>
      <c r="S146" s="2"/>
      <c r="T146" s="2"/>
      <c r="U146" s="2"/>
      <c r="V146" s="2"/>
      <c r="W146" s="2"/>
      <c r="X146" s="3"/>
      <c r="Y146" s="2"/>
      <c r="Z146" s="2"/>
      <c r="AA146" s="2"/>
      <c r="AB146" s="2"/>
      <c r="AC146" s="2"/>
      <c r="AD146" s="2"/>
      <c r="AE146" s="2"/>
      <c r="AF146" s="2"/>
      <c r="AG146" s="2"/>
      <c r="AH146" s="2"/>
      <c r="AI146" s="2"/>
      <c r="AJ146" s="2"/>
      <c r="AK146" s="2"/>
      <c r="AL146" s="2"/>
    </row>
    <row r="147">
      <c r="A147" s="1"/>
      <c r="B147" s="2"/>
      <c r="C147" s="2"/>
      <c r="D147" s="2"/>
      <c r="E147" s="2"/>
      <c r="F147" s="2"/>
      <c r="G147" s="2"/>
      <c r="H147" s="2"/>
      <c r="I147" s="2"/>
      <c r="J147" s="2"/>
      <c r="K147" s="2"/>
      <c r="L147" s="2"/>
      <c r="M147" s="2"/>
      <c r="N147" s="2"/>
      <c r="O147" s="2"/>
      <c r="P147" s="2"/>
      <c r="Q147" s="2"/>
      <c r="R147" s="2"/>
      <c r="S147" s="2"/>
      <c r="T147" s="2"/>
      <c r="U147" s="2"/>
      <c r="V147" s="2"/>
      <c r="W147" s="2"/>
      <c r="X147" s="3"/>
      <c r="Y147" s="2"/>
      <c r="Z147" s="2"/>
      <c r="AA147" s="2"/>
      <c r="AB147" s="2"/>
      <c r="AC147" s="2"/>
      <c r="AD147" s="2"/>
      <c r="AE147" s="2"/>
      <c r="AF147" s="2"/>
      <c r="AG147" s="2"/>
      <c r="AH147" s="2"/>
      <c r="AI147" s="2"/>
      <c r="AJ147" s="2"/>
      <c r="AK147" s="2"/>
      <c r="AL147" s="2"/>
    </row>
    <row r="148">
      <c r="A148" s="1"/>
      <c r="B148" s="2"/>
      <c r="C148" s="2"/>
      <c r="D148" s="2"/>
      <c r="E148" s="2"/>
      <c r="F148" s="2"/>
      <c r="G148" s="2"/>
      <c r="H148" s="2"/>
      <c r="I148" s="2"/>
      <c r="J148" s="2"/>
      <c r="K148" s="2"/>
      <c r="L148" s="2"/>
      <c r="M148" s="2"/>
      <c r="N148" s="2"/>
      <c r="O148" s="2"/>
      <c r="P148" s="2"/>
      <c r="Q148" s="2"/>
      <c r="R148" s="2"/>
      <c r="S148" s="2"/>
      <c r="T148" s="2"/>
      <c r="U148" s="2"/>
      <c r="V148" s="2"/>
      <c r="W148" s="2"/>
      <c r="X148" s="3"/>
      <c r="Y148" s="2"/>
      <c r="Z148" s="2"/>
      <c r="AA148" s="2"/>
      <c r="AB148" s="2"/>
      <c r="AC148" s="2"/>
      <c r="AD148" s="2"/>
      <c r="AE148" s="2"/>
      <c r="AF148" s="2"/>
      <c r="AG148" s="2"/>
      <c r="AH148" s="2"/>
      <c r="AI148" s="2"/>
      <c r="AJ148" s="2"/>
      <c r="AK148" s="2"/>
      <c r="AL148" s="2"/>
    </row>
    <row r="149">
      <c r="A149" s="1"/>
      <c r="B149" s="2"/>
      <c r="C149" s="2"/>
      <c r="D149" s="2"/>
      <c r="E149" s="2"/>
      <c r="F149" s="2"/>
      <c r="G149" s="2"/>
      <c r="H149" s="2"/>
      <c r="I149" s="2"/>
      <c r="J149" s="2"/>
      <c r="K149" s="2"/>
      <c r="L149" s="2"/>
      <c r="M149" s="2"/>
      <c r="N149" s="2"/>
      <c r="O149" s="2"/>
      <c r="P149" s="2"/>
      <c r="Q149" s="2"/>
      <c r="R149" s="2"/>
      <c r="S149" s="2"/>
      <c r="T149" s="2"/>
      <c r="U149" s="2"/>
      <c r="V149" s="2"/>
      <c r="W149" s="2"/>
      <c r="X149" s="3"/>
      <c r="Y149" s="2"/>
      <c r="Z149" s="2"/>
      <c r="AA149" s="2"/>
      <c r="AB149" s="2"/>
      <c r="AC149" s="2"/>
      <c r="AD149" s="2"/>
      <c r="AE149" s="2"/>
      <c r="AF149" s="2"/>
      <c r="AG149" s="2"/>
      <c r="AH149" s="2"/>
      <c r="AI149" s="2"/>
      <c r="AJ149" s="2"/>
      <c r="AK149" s="2"/>
      <c r="AL149" s="2"/>
    </row>
    <row r="150">
      <c r="A150" s="1"/>
      <c r="B150" s="2"/>
      <c r="C150" s="2"/>
      <c r="D150" s="2"/>
      <c r="E150" s="2"/>
      <c r="F150" s="2"/>
      <c r="G150" s="2"/>
      <c r="H150" s="2"/>
      <c r="I150" s="2"/>
      <c r="J150" s="2"/>
      <c r="K150" s="2"/>
      <c r="L150" s="2"/>
      <c r="M150" s="2"/>
      <c r="N150" s="2"/>
      <c r="O150" s="2"/>
      <c r="P150" s="2"/>
      <c r="Q150" s="2"/>
      <c r="R150" s="2"/>
      <c r="S150" s="2"/>
      <c r="T150" s="2"/>
      <c r="U150" s="2"/>
      <c r="V150" s="2"/>
      <c r="W150" s="2"/>
      <c r="X150" s="3"/>
      <c r="Y150" s="2"/>
      <c r="Z150" s="2"/>
      <c r="AA150" s="2"/>
      <c r="AB150" s="2"/>
      <c r="AC150" s="2"/>
      <c r="AD150" s="2"/>
      <c r="AE150" s="2"/>
      <c r="AF150" s="2"/>
      <c r="AG150" s="2"/>
      <c r="AH150" s="2"/>
      <c r="AI150" s="2"/>
      <c r="AJ150" s="2"/>
      <c r="AK150" s="2"/>
      <c r="AL150" s="2"/>
    </row>
    <row r="151">
      <c r="A151" s="1"/>
      <c r="B151" s="2"/>
      <c r="C151" s="2"/>
      <c r="D151" s="2"/>
      <c r="E151" s="2"/>
      <c r="F151" s="2"/>
      <c r="G151" s="2"/>
      <c r="H151" s="2"/>
      <c r="I151" s="2"/>
      <c r="J151" s="2"/>
      <c r="K151" s="2"/>
      <c r="L151" s="2"/>
      <c r="M151" s="2"/>
      <c r="N151" s="2"/>
      <c r="O151" s="2"/>
      <c r="P151" s="2"/>
      <c r="Q151" s="2"/>
      <c r="R151" s="2"/>
      <c r="S151" s="2"/>
      <c r="T151" s="2"/>
      <c r="U151" s="2"/>
      <c r="V151" s="2"/>
      <c r="W151" s="2"/>
      <c r="X151" s="3"/>
      <c r="Y151" s="2"/>
      <c r="Z151" s="2"/>
      <c r="AA151" s="2"/>
      <c r="AB151" s="2"/>
      <c r="AC151" s="2"/>
      <c r="AD151" s="2"/>
      <c r="AE151" s="2"/>
      <c r="AF151" s="2"/>
      <c r="AG151" s="2"/>
      <c r="AH151" s="2"/>
      <c r="AI151" s="2"/>
      <c r="AJ151" s="2"/>
      <c r="AK151" s="2"/>
      <c r="AL151" s="2"/>
    </row>
    <row r="152">
      <c r="A152" s="1"/>
      <c r="B152" s="2"/>
      <c r="C152" s="2"/>
      <c r="D152" s="2"/>
      <c r="E152" s="2"/>
      <c r="F152" s="2"/>
      <c r="G152" s="2"/>
      <c r="H152" s="2"/>
      <c r="I152" s="2"/>
      <c r="J152" s="2"/>
      <c r="K152" s="2"/>
      <c r="L152" s="2"/>
      <c r="M152" s="2"/>
      <c r="N152" s="2"/>
      <c r="O152" s="2"/>
      <c r="P152" s="2"/>
      <c r="Q152" s="2"/>
      <c r="R152" s="2"/>
      <c r="S152" s="2"/>
      <c r="T152" s="2"/>
      <c r="U152" s="2"/>
      <c r="V152" s="2"/>
      <c r="W152" s="2"/>
      <c r="X152" s="3"/>
      <c r="Y152" s="2"/>
      <c r="Z152" s="2"/>
      <c r="AA152" s="2"/>
      <c r="AB152" s="2"/>
      <c r="AC152" s="2"/>
      <c r="AD152" s="2"/>
      <c r="AE152" s="2"/>
      <c r="AF152" s="2"/>
      <c r="AG152" s="2"/>
      <c r="AH152" s="2"/>
      <c r="AI152" s="2"/>
      <c r="AJ152" s="2"/>
      <c r="AK152" s="2"/>
      <c r="AL152" s="2"/>
    </row>
    <row r="153">
      <c r="A153" s="1"/>
      <c r="B153" s="2"/>
      <c r="C153" s="2"/>
      <c r="D153" s="2"/>
      <c r="E153" s="2"/>
      <c r="F153" s="2"/>
      <c r="G153" s="2"/>
      <c r="H153" s="2"/>
      <c r="I153" s="2"/>
      <c r="J153" s="2"/>
      <c r="K153" s="2"/>
      <c r="L153" s="2"/>
      <c r="M153" s="2"/>
      <c r="N153" s="2"/>
      <c r="O153" s="2"/>
      <c r="P153" s="2"/>
      <c r="Q153" s="2"/>
      <c r="R153" s="2"/>
      <c r="S153" s="2"/>
      <c r="T153" s="2"/>
      <c r="U153" s="2"/>
      <c r="V153" s="2"/>
      <c r="W153" s="2"/>
      <c r="X153" s="3"/>
      <c r="Y153" s="2"/>
      <c r="Z153" s="2"/>
      <c r="AA153" s="2"/>
      <c r="AB153" s="2"/>
      <c r="AC153" s="2"/>
      <c r="AD153" s="2"/>
      <c r="AE153" s="2"/>
      <c r="AF153" s="2"/>
      <c r="AG153" s="2"/>
      <c r="AH153" s="2"/>
      <c r="AI153" s="2"/>
      <c r="AJ153" s="2"/>
      <c r="AK153" s="2"/>
      <c r="AL153" s="2"/>
    </row>
    <row r="154">
      <c r="A154" s="1"/>
      <c r="B154" s="2"/>
      <c r="C154" s="2"/>
      <c r="D154" s="2"/>
      <c r="E154" s="2"/>
      <c r="F154" s="2"/>
      <c r="G154" s="2"/>
      <c r="H154" s="2"/>
      <c r="I154" s="2"/>
      <c r="J154" s="2"/>
      <c r="K154" s="2"/>
      <c r="L154" s="2"/>
      <c r="M154" s="2"/>
      <c r="N154" s="2"/>
      <c r="O154" s="2"/>
      <c r="P154" s="2"/>
      <c r="Q154" s="2"/>
      <c r="R154" s="2"/>
      <c r="S154" s="2"/>
      <c r="T154" s="2"/>
      <c r="U154" s="2"/>
      <c r="V154" s="2"/>
      <c r="W154" s="2"/>
      <c r="X154" s="3"/>
      <c r="Y154" s="2"/>
      <c r="Z154" s="2"/>
      <c r="AA154" s="2"/>
      <c r="AB154" s="2"/>
      <c r="AC154" s="2"/>
      <c r="AD154" s="2"/>
      <c r="AE154" s="2"/>
      <c r="AF154" s="2"/>
      <c r="AG154" s="2"/>
      <c r="AH154" s="2"/>
      <c r="AI154" s="2"/>
      <c r="AJ154" s="2"/>
      <c r="AK154" s="2"/>
      <c r="AL154" s="2"/>
    </row>
    <row r="155">
      <c r="A155" s="1"/>
      <c r="B155" s="2"/>
      <c r="C155" s="2"/>
      <c r="D155" s="2"/>
      <c r="E155" s="2"/>
      <c r="F155" s="2"/>
      <c r="G155" s="2"/>
      <c r="H155" s="2"/>
      <c r="I155" s="2"/>
      <c r="J155" s="2"/>
      <c r="K155" s="2"/>
      <c r="L155" s="2"/>
      <c r="M155" s="2"/>
      <c r="N155" s="2"/>
      <c r="O155" s="2"/>
      <c r="P155" s="2"/>
      <c r="Q155" s="2"/>
      <c r="R155" s="2"/>
      <c r="S155" s="2"/>
      <c r="T155" s="2"/>
      <c r="U155" s="2"/>
      <c r="V155" s="2"/>
      <c r="W155" s="2"/>
      <c r="X155" s="3"/>
      <c r="Y155" s="2"/>
      <c r="Z155" s="2"/>
      <c r="AA155" s="2"/>
      <c r="AB155" s="2"/>
      <c r="AC155" s="2"/>
      <c r="AD155" s="2"/>
      <c r="AE155" s="2"/>
      <c r="AF155" s="2"/>
      <c r="AG155" s="2"/>
      <c r="AH155" s="2"/>
      <c r="AI155" s="2"/>
      <c r="AJ155" s="2"/>
      <c r="AK155" s="2"/>
      <c r="AL155" s="2"/>
    </row>
    <row r="156">
      <c r="A156" s="1"/>
      <c r="B156" s="2"/>
      <c r="C156" s="2"/>
      <c r="D156" s="2"/>
      <c r="E156" s="2"/>
      <c r="F156" s="2"/>
      <c r="G156" s="2"/>
      <c r="H156" s="2"/>
      <c r="I156" s="2"/>
      <c r="J156" s="2"/>
      <c r="K156" s="2"/>
      <c r="L156" s="2"/>
      <c r="M156" s="2"/>
      <c r="N156" s="2"/>
      <c r="O156" s="2"/>
      <c r="P156" s="2"/>
      <c r="Q156" s="2"/>
      <c r="R156" s="2"/>
      <c r="S156" s="2"/>
      <c r="T156" s="2"/>
      <c r="U156" s="2"/>
      <c r="V156" s="2"/>
      <c r="W156" s="2"/>
      <c r="X156" s="3"/>
      <c r="Y156" s="2"/>
      <c r="Z156" s="2"/>
      <c r="AA156" s="2"/>
      <c r="AB156" s="2"/>
      <c r="AC156" s="2"/>
      <c r="AD156" s="2"/>
      <c r="AE156" s="2"/>
      <c r="AF156" s="2"/>
      <c r="AG156" s="2"/>
      <c r="AH156" s="2"/>
      <c r="AI156" s="2"/>
      <c r="AJ156" s="2"/>
      <c r="AK156" s="2"/>
      <c r="AL156" s="2"/>
    </row>
    <row r="157">
      <c r="A157" s="1"/>
      <c r="B157" s="2"/>
      <c r="C157" s="2"/>
      <c r="D157" s="2"/>
      <c r="E157" s="2"/>
      <c r="F157" s="2"/>
      <c r="G157" s="2"/>
      <c r="H157" s="2"/>
      <c r="I157" s="2"/>
      <c r="J157" s="2"/>
      <c r="K157" s="2"/>
      <c r="L157" s="2"/>
      <c r="M157" s="2"/>
      <c r="N157" s="2"/>
      <c r="O157" s="2"/>
      <c r="P157" s="2"/>
      <c r="Q157" s="2"/>
      <c r="R157" s="2"/>
      <c r="S157" s="2"/>
      <c r="T157" s="2"/>
      <c r="U157" s="2"/>
      <c r="V157" s="2"/>
      <c r="W157" s="2"/>
      <c r="X157" s="3"/>
      <c r="Y157" s="2"/>
      <c r="Z157" s="2"/>
      <c r="AA157" s="2"/>
      <c r="AB157" s="2"/>
      <c r="AC157" s="2"/>
      <c r="AD157" s="2"/>
      <c r="AE157" s="2"/>
      <c r="AF157" s="2"/>
      <c r="AG157" s="2"/>
      <c r="AH157" s="2"/>
      <c r="AI157" s="2"/>
      <c r="AJ157" s="2"/>
      <c r="AK157" s="2"/>
      <c r="AL157" s="2"/>
    </row>
    <row r="158">
      <c r="A158" s="1"/>
      <c r="B158" s="2"/>
      <c r="C158" s="2"/>
      <c r="D158" s="2"/>
      <c r="E158" s="2"/>
      <c r="F158" s="2"/>
      <c r="G158" s="2"/>
      <c r="H158" s="2"/>
      <c r="I158" s="2"/>
      <c r="J158" s="2"/>
      <c r="K158" s="2"/>
      <c r="L158" s="2"/>
      <c r="M158" s="2"/>
      <c r="N158" s="2"/>
      <c r="O158" s="2"/>
      <c r="P158" s="2"/>
      <c r="Q158" s="2"/>
      <c r="R158" s="2"/>
      <c r="S158" s="2"/>
      <c r="T158" s="2"/>
      <c r="U158" s="2"/>
      <c r="V158" s="2"/>
      <c r="W158" s="2"/>
      <c r="X158" s="3"/>
      <c r="Y158" s="2"/>
      <c r="Z158" s="2"/>
      <c r="AA158" s="2"/>
      <c r="AB158" s="2"/>
      <c r="AC158" s="2"/>
      <c r="AD158" s="2"/>
      <c r="AE158" s="2"/>
      <c r="AF158" s="2"/>
      <c r="AG158" s="2"/>
      <c r="AH158" s="2"/>
      <c r="AI158" s="2"/>
      <c r="AJ158" s="2"/>
      <c r="AK158" s="2"/>
      <c r="AL158" s="2"/>
    </row>
    <row r="159">
      <c r="A159" s="1"/>
      <c r="B159" s="2"/>
      <c r="C159" s="2"/>
      <c r="D159" s="2"/>
      <c r="E159" s="2"/>
      <c r="F159" s="2"/>
      <c r="G159" s="2"/>
      <c r="H159" s="2"/>
      <c r="I159" s="2"/>
      <c r="J159" s="2"/>
      <c r="K159" s="2"/>
      <c r="L159" s="2"/>
      <c r="M159" s="2"/>
      <c r="N159" s="2"/>
      <c r="O159" s="2"/>
      <c r="P159" s="2"/>
      <c r="Q159" s="2"/>
      <c r="R159" s="2"/>
      <c r="S159" s="2"/>
      <c r="T159" s="2"/>
      <c r="U159" s="2"/>
      <c r="V159" s="2"/>
      <c r="W159" s="2"/>
      <c r="X159" s="3"/>
      <c r="Y159" s="2"/>
      <c r="Z159" s="2"/>
      <c r="AA159" s="2"/>
      <c r="AB159" s="2"/>
      <c r="AC159" s="2"/>
      <c r="AD159" s="2"/>
      <c r="AE159" s="2"/>
      <c r="AF159" s="2"/>
      <c r="AG159" s="2"/>
      <c r="AH159" s="2"/>
      <c r="AI159" s="2"/>
      <c r="AJ159" s="2"/>
      <c r="AK159" s="2"/>
      <c r="AL159" s="2"/>
    </row>
    <row r="160">
      <c r="A160" s="1"/>
      <c r="B160" s="2"/>
      <c r="C160" s="2"/>
      <c r="D160" s="2"/>
      <c r="E160" s="2"/>
      <c r="F160" s="2"/>
      <c r="G160" s="2"/>
      <c r="H160" s="2"/>
      <c r="I160" s="2"/>
      <c r="J160" s="2"/>
      <c r="K160" s="2"/>
      <c r="L160" s="2"/>
      <c r="M160" s="2"/>
      <c r="N160" s="2"/>
      <c r="O160" s="2"/>
      <c r="P160" s="2"/>
      <c r="Q160" s="2"/>
      <c r="R160" s="2"/>
      <c r="S160" s="2"/>
      <c r="T160" s="2"/>
      <c r="U160" s="2"/>
      <c r="V160" s="2"/>
      <c r="W160" s="2"/>
      <c r="X160" s="3"/>
      <c r="Y160" s="2"/>
      <c r="Z160" s="2"/>
      <c r="AA160" s="2"/>
      <c r="AB160" s="2"/>
      <c r="AC160" s="2"/>
      <c r="AD160" s="2"/>
      <c r="AE160" s="2"/>
      <c r="AF160" s="2"/>
      <c r="AG160" s="2"/>
      <c r="AH160" s="2"/>
      <c r="AI160" s="2"/>
      <c r="AJ160" s="2"/>
      <c r="AK160" s="2"/>
      <c r="AL160" s="2"/>
    </row>
    <row r="161">
      <c r="A161" s="1"/>
      <c r="B161" s="2"/>
      <c r="C161" s="2"/>
      <c r="D161" s="2"/>
      <c r="E161" s="2"/>
      <c r="F161" s="2"/>
      <c r="G161" s="2"/>
      <c r="H161" s="2"/>
      <c r="I161" s="2"/>
      <c r="J161" s="2"/>
      <c r="K161" s="2"/>
      <c r="L161" s="2"/>
      <c r="M161" s="2"/>
      <c r="N161" s="2"/>
      <c r="O161" s="2"/>
      <c r="P161" s="2"/>
      <c r="Q161" s="2"/>
      <c r="R161" s="2"/>
      <c r="S161" s="2"/>
      <c r="T161" s="2"/>
      <c r="U161" s="2"/>
      <c r="V161" s="2"/>
      <c r="W161" s="2"/>
      <c r="X161" s="3"/>
      <c r="Y161" s="2"/>
      <c r="Z161" s="2"/>
      <c r="AA161" s="2"/>
      <c r="AB161" s="2"/>
      <c r="AC161" s="2"/>
      <c r="AD161" s="2"/>
      <c r="AE161" s="2"/>
      <c r="AF161" s="2"/>
      <c r="AG161" s="2"/>
      <c r="AH161" s="2"/>
      <c r="AI161" s="2"/>
      <c r="AJ161" s="2"/>
      <c r="AK161" s="2"/>
      <c r="AL161" s="2"/>
    </row>
    <row r="162">
      <c r="A162" s="1"/>
      <c r="B162" s="2"/>
      <c r="C162" s="2"/>
      <c r="D162" s="2"/>
      <c r="E162" s="2"/>
      <c r="F162" s="2"/>
      <c r="G162" s="2"/>
      <c r="H162" s="2"/>
      <c r="I162" s="2"/>
      <c r="J162" s="2"/>
      <c r="K162" s="2"/>
      <c r="L162" s="2"/>
      <c r="M162" s="2"/>
      <c r="N162" s="2"/>
      <c r="O162" s="2"/>
      <c r="P162" s="2"/>
      <c r="Q162" s="2"/>
      <c r="R162" s="2"/>
      <c r="S162" s="2"/>
      <c r="T162" s="2"/>
      <c r="U162" s="2"/>
      <c r="V162" s="2"/>
      <c r="W162" s="2"/>
      <c r="X162" s="3"/>
      <c r="Y162" s="2"/>
      <c r="Z162" s="2"/>
      <c r="AA162" s="2"/>
      <c r="AB162" s="2"/>
      <c r="AC162" s="2"/>
      <c r="AD162" s="2"/>
      <c r="AE162" s="2"/>
      <c r="AF162" s="2"/>
      <c r="AG162" s="2"/>
      <c r="AH162" s="2"/>
      <c r="AI162" s="2"/>
      <c r="AJ162" s="2"/>
      <c r="AK162" s="2"/>
      <c r="AL162" s="2"/>
    </row>
    <row r="163">
      <c r="A163" s="1"/>
      <c r="B163" s="2"/>
      <c r="C163" s="2"/>
      <c r="D163" s="2"/>
      <c r="E163" s="2"/>
      <c r="F163" s="2"/>
      <c r="G163" s="2"/>
      <c r="H163" s="2"/>
      <c r="I163" s="2"/>
      <c r="J163" s="2"/>
      <c r="K163" s="2"/>
      <c r="L163" s="2"/>
      <c r="M163" s="2"/>
      <c r="N163" s="2"/>
      <c r="O163" s="2"/>
      <c r="P163" s="2"/>
      <c r="Q163" s="2"/>
      <c r="R163" s="2"/>
      <c r="S163" s="2"/>
      <c r="T163" s="2"/>
      <c r="U163" s="2"/>
      <c r="V163" s="2"/>
      <c r="W163" s="2"/>
      <c r="X163" s="3"/>
      <c r="Y163" s="2"/>
      <c r="Z163" s="2"/>
      <c r="AA163" s="2"/>
      <c r="AB163" s="2"/>
      <c r="AC163" s="2"/>
      <c r="AD163" s="2"/>
      <c r="AE163" s="2"/>
      <c r="AF163" s="2"/>
      <c r="AG163" s="2"/>
      <c r="AH163" s="2"/>
      <c r="AI163" s="2"/>
      <c r="AJ163" s="2"/>
      <c r="AK163" s="2"/>
      <c r="AL163" s="2"/>
    </row>
    <row r="164">
      <c r="A164" s="1"/>
      <c r="B164" s="2"/>
      <c r="C164" s="2"/>
      <c r="D164" s="2"/>
      <c r="E164" s="2"/>
      <c r="F164" s="2"/>
      <c r="G164" s="2"/>
      <c r="H164" s="2"/>
      <c r="I164" s="2"/>
      <c r="J164" s="2"/>
      <c r="K164" s="2"/>
      <c r="L164" s="2"/>
      <c r="M164" s="2"/>
      <c r="N164" s="2"/>
      <c r="O164" s="2"/>
      <c r="P164" s="2"/>
      <c r="Q164" s="2"/>
      <c r="R164" s="2"/>
      <c r="S164" s="2"/>
      <c r="T164" s="2"/>
      <c r="U164" s="2"/>
      <c r="V164" s="2"/>
      <c r="W164" s="2"/>
      <c r="X164" s="3"/>
      <c r="Y164" s="2"/>
      <c r="Z164" s="2"/>
      <c r="AA164" s="2"/>
      <c r="AB164" s="2"/>
      <c r="AC164" s="2"/>
      <c r="AD164" s="2"/>
      <c r="AE164" s="2"/>
      <c r="AF164" s="2"/>
      <c r="AG164" s="2"/>
      <c r="AH164" s="2"/>
      <c r="AI164" s="2"/>
      <c r="AJ164" s="2"/>
      <c r="AK164" s="2"/>
      <c r="AL164" s="2"/>
    </row>
    <row r="165">
      <c r="A165" s="1"/>
      <c r="B165" s="2"/>
      <c r="C165" s="2"/>
      <c r="D165" s="2"/>
      <c r="E165" s="2"/>
      <c r="F165" s="2"/>
      <c r="G165" s="2"/>
      <c r="H165" s="2"/>
      <c r="I165" s="2"/>
      <c r="J165" s="2"/>
      <c r="K165" s="2"/>
      <c r="L165" s="2"/>
      <c r="M165" s="2"/>
      <c r="N165" s="2"/>
      <c r="O165" s="2"/>
      <c r="P165" s="2"/>
      <c r="Q165" s="2"/>
      <c r="R165" s="2"/>
      <c r="S165" s="2"/>
      <c r="T165" s="2"/>
      <c r="U165" s="2"/>
      <c r="V165" s="2"/>
      <c r="W165" s="2"/>
      <c r="X165" s="3"/>
      <c r="Y165" s="2"/>
      <c r="Z165" s="2"/>
      <c r="AA165" s="2"/>
      <c r="AB165" s="2"/>
      <c r="AC165" s="2"/>
      <c r="AD165" s="2"/>
      <c r="AE165" s="2"/>
      <c r="AF165" s="2"/>
      <c r="AG165" s="2"/>
      <c r="AH165" s="2"/>
      <c r="AI165" s="2"/>
      <c r="AJ165" s="2"/>
      <c r="AK165" s="2"/>
      <c r="AL165" s="2"/>
    </row>
    <row r="166">
      <c r="A166" s="1"/>
      <c r="B166" s="2"/>
      <c r="C166" s="2"/>
      <c r="D166" s="2"/>
      <c r="E166" s="2"/>
      <c r="F166" s="2"/>
      <c r="G166" s="2"/>
      <c r="H166" s="2"/>
      <c r="I166" s="2"/>
      <c r="J166" s="2"/>
      <c r="K166" s="2"/>
      <c r="L166" s="2"/>
      <c r="M166" s="2"/>
      <c r="N166" s="2"/>
      <c r="O166" s="2"/>
      <c r="P166" s="2"/>
      <c r="Q166" s="2"/>
      <c r="R166" s="2"/>
      <c r="S166" s="2"/>
      <c r="T166" s="2"/>
      <c r="U166" s="2"/>
      <c r="V166" s="2"/>
      <c r="W166" s="2"/>
      <c r="X166" s="3"/>
      <c r="Y166" s="2"/>
      <c r="Z166" s="2"/>
      <c r="AA166" s="2"/>
      <c r="AB166" s="2"/>
      <c r="AC166" s="2"/>
      <c r="AD166" s="2"/>
      <c r="AE166" s="2"/>
      <c r="AF166" s="2"/>
      <c r="AG166" s="2"/>
      <c r="AH166" s="2"/>
      <c r="AI166" s="2"/>
      <c r="AJ166" s="2"/>
      <c r="AK166" s="2"/>
      <c r="AL166" s="2"/>
    </row>
    <row r="167">
      <c r="A167" s="1"/>
      <c r="B167" s="2"/>
      <c r="C167" s="2"/>
      <c r="D167" s="2"/>
      <c r="E167" s="2"/>
      <c r="F167" s="2"/>
      <c r="G167" s="2"/>
      <c r="H167" s="2"/>
      <c r="I167" s="2"/>
      <c r="J167" s="2"/>
      <c r="K167" s="2"/>
      <c r="L167" s="2"/>
      <c r="M167" s="2"/>
      <c r="N167" s="2"/>
      <c r="O167" s="2"/>
      <c r="P167" s="2"/>
      <c r="Q167" s="2"/>
      <c r="R167" s="2"/>
      <c r="S167" s="2"/>
      <c r="T167" s="2"/>
      <c r="U167" s="2"/>
      <c r="V167" s="2"/>
      <c r="W167" s="2"/>
      <c r="X167" s="3"/>
      <c r="Y167" s="2"/>
      <c r="Z167" s="2"/>
      <c r="AA167" s="2"/>
      <c r="AB167" s="2"/>
      <c r="AC167" s="2"/>
      <c r="AD167" s="2"/>
      <c r="AE167" s="2"/>
      <c r="AF167" s="2"/>
      <c r="AG167" s="2"/>
      <c r="AH167" s="2"/>
      <c r="AI167" s="2"/>
      <c r="AJ167" s="2"/>
      <c r="AK167" s="2"/>
      <c r="AL167" s="2"/>
    </row>
    <row r="168">
      <c r="A168" s="1"/>
      <c r="B168" s="2"/>
      <c r="C168" s="2"/>
      <c r="D168" s="2"/>
      <c r="E168" s="2"/>
      <c r="F168" s="2"/>
      <c r="G168" s="2"/>
      <c r="H168" s="2"/>
      <c r="I168" s="2"/>
      <c r="J168" s="2"/>
      <c r="K168" s="2"/>
      <c r="L168" s="2"/>
      <c r="M168" s="2"/>
      <c r="N168" s="2"/>
      <c r="O168" s="2"/>
      <c r="P168" s="2"/>
      <c r="Q168" s="2"/>
      <c r="R168" s="2"/>
      <c r="S168" s="2"/>
      <c r="T168" s="2"/>
      <c r="U168" s="2"/>
      <c r="V168" s="2"/>
      <c r="W168" s="2"/>
      <c r="X168" s="3"/>
      <c r="Y168" s="2"/>
      <c r="Z168" s="2"/>
      <c r="AA168" s="2"/>
      <c r="AB168" s="2"/>
      <c r="AC168" s="2"/>
      <c r="AD168" s="2"/>
      <c r="AE168" s="2"/>
      <c r="AF168" s="2"/>
      <c r="AG168" s="2"/>
      <c r="AH168" s="2"/>
      <c r="AI168" s="2"/>
      <c r="AJ168" s="2"/>
      <c r="AK168" s="2"/>
      <c r="AL168" s="2"/>
    </row>
    <row r="169">
      <c r="A169" s="1"/>
      <c r="B169" s="2"/>
      <c r="C169" s="2"/>
      <c r="D169" s="2"/>
      <c r="E169" s="2"/>
      <c r="F169" s="2"/>
      <c r="G169" s="2"/>
      <c r="H169" s="2"/>
      <c r="I169" s="2"/>
      <c r="J169" s="2"/>
      <c r="K169" s="2"/>
      <c r="L169" s="2"/>
      <c r="M169" s="2"/>
      <c r="N169" s="2"/>
      <c r="O169" s="2"/>
      <c r="P169" s="2"/>
      <c r="Q169" s="2"/>
      <c r="R169" s="2"/>
      <c r="S169" s="2"/>
      <c r="T169" s="2"/>
      <c r="U169" s="2"/>
      <c r="V169" s="2"/>
      <c r="W169" s="2"/>
      <c r="X169" s="3"/>
      <c r="Y169" s="2"/>
      <c r="Z169" s="2"/>
      <c r="AA169" s="2"/>
      <c r="AB169" s="2"/>
      <c r="AC169" s="2"/>
      <c r="AD169" s="2"/>
      <c r="AE169" s="2"/>
      <c r="AF169" s="2"/>
      <c r="AG169" s="2"/>
      <c r="AH169" s="2"/>
      <c r="AI169" s="2"/>
      <c r="AJ169" s="2"/>
      <c r="AK169" s="2"/>
      <c r="AL169" s="2"/>
    </row>
    <row r="170">
      <c r="A170" s="1"/>
      <c r="B170" s="2"/>
      <c r="C170" s="2"/>
      <c r="D170" s="2"/>
      <c r="E170" s="2"/>
      <c r="F170" s="2"/>
      <c r="G170" s="2"/>
      <c r="H170" s="2"/>
      <c r="I170" s="2"/>
      <c r="J170" s="2"/>
      <c r="K170" s="2"/>
      <c r="L170" s="2"/>
      <c r="M170" s="2"/>
      <c r="N170" s="2"/>
      <c r="O170" s="2"/>
      <c r="P170" s="2"/>
      <c r="Q170" s="2"/>
      <c r="R170" s="2"/>
      <c r="S170" s="2"/>
      <c r="T170" s="2"/>
      <c r="U170" s="2"/>
      <c r="V170" s="2"/>
      <c r="W170" s="2"/>
      <c r="X170" s="3"/>
      <c r="Y170" s="2"/>
      <c r="Z170" s="2"/>
      <c r="AA170" s="2"/>
      <c r="AB170" s="2"/>
      <c r="AC170" s="2"/>
      <c r="AD170" s="2"/>
      <c r="AE170" s="2"/>
      <c r="AF170" s="2"/>
      <c r="AG170" s="2"/>
      <c r="AH170" s="2"/>
      <c r="AI170" s="2"/>
      <c r="AJ170" s="2"/>
      <c r="AK170" s="2"/>
      <c r="AL170" s="2"/>
    </row>
    <row r="171">
      <c r="A171" s="1"/>
      <c r="B171" s="2"/>
      <c r="C171" s="2"/>
      <c r="D171" s="2"/>
      <c r="E171" s="2"/>
      <c r="F171" s="2"/>
      <c r="G171" s="2"/>
      <c r="H171" s="2"/>
      <c r="I171" s="2"/>
      <c r="J171" s="2"/>
      <c r="K171" s="2"/>
      <c r="L171" s="2"/>
      <c r="M171" s="2"/>
      <c r="N171" s="2"/>
      <c r="O171" s="2"/>
      <c r="P171" s="2"/>
      <c r="Q171" s="2"/>
      <c r="R171" s="2"/>
      <c r="S171" s="2"/>
      <c r="T171" s="2"/>
      <c r="U171" s="2"/>
      <c r="V171" s="2"/>
      <c r="W171" s="2"/>
      <c r="X171" s="3"/>
      <c r="Y171" s="2"/>
      <c r="Z171" s="2"/>
      <c r="AA171" s="2"/>
      <c r="AB171" s="2"/>
      <c r="AC171" s="2"/>
      <c r="AD171" s="2"/>
      <c r="AE171" s="2"/>
      <c r="AF171" s="2"/>
      <c r="AG171" s="2"/>
      <c r="AH171" s="2"/>
      <c r="AI171" s="2"/>
      <c r="AJ171" s="2"/>
      <c r="AK171" s="2"/>
      <c r="AL171" s="2"/>
    </row>
    <row r="172">
      <c r="A172" s="1"/>
      <c r="B172" s="2"/>
      <c r="C172" s="2"/>
      <c r="D172" s="2"/>
      <c r="E172" s="2"/>
      <c r="F172" s="2"/>
      <c r="G172" s="2"/>
      <c r="H172" s="2"/>
      <c r="I172" s="2"/>
      <c r="J172" s="2"/>
      <c r="K172" s="2"/>
      <c r="L172" s="2"/>
      <c r="M172" s="2"/>
      <c r="N172" s="2"/>
      <c r="O172" s="2"/>
      <c r="P172" s="2"/>
      <c r="Q172" s="2"/>
      <c r="R172" s="2"/>
      <c r="S172" s="2"/>
      <c r="T172" s="2"/>
      <c r="U172" s="2"/>
      <c r="V172" s="2"/>
      <c r="W172" s="2"/>
      <c r="X172" s="3"/>
      <c r="Y172" s="2"/>
      <c r="Z172" s="2"/>
      <c r="AA172" s="2"/>
      <c r="AB172" s="2"/>
      <c r="AC172" s="2"/>
      <c r="AD172" s="2"/>
      <c r="AE172" s="2"/>
      <c r="AF172" s="2"/>
      <c r="AG172" s="2"/>
      <c r="AH172" s="2"/>
      <c r="AI172" s="2"/>
      <c r="AJ172" s="2"/>
      <c r="AK172" s="2"/>
      <c r="AL172" s="2"/>
    </row>
    <row r="173">
      <c r="A173" s="1"/>
      <c r="B173" s="2"/>
      <c r="C173" s="2"/>
      <c r="D173" s="2"/>
      <c r="E173" s="2"/>
      <c r="F173" s="2"/>
      <c r="G173" s="2"/>
      <c r="H173" s="2"/>
      <c r="I173" s="2"/>
      <c r="J173" s="2"/>
      <c r="K173" s="2"/>
      <c r="L173" s="2"/>
      <c r="M173" s="2"/>
      <c r="N173" s="2"/>
      <c r="O173" s="2"/>
      <c r="P173" s="2"/>
      <c r="Q173" s="2"/>
      <c r="R173" s="2"/>
      <c r="S173" s="2"/>
      <c r="T173" s="2"/>
      <c r="U173" s="2"/>
      <c r="V173" s="2"/>
      <c r="W173" s="2"/>
      <c r="X173" s="3"/>
      <c r="Y173" s="2"/>
      <c r="Z173" s="2"/>
      <c r="AA173" s="2"/>
      <c r="AB173" s="2"/>
      <c r="AC173" s="2"/>
      <c r="AD173" s="2"/>
      <c r="AE173" s="2"/>
      <c r="AF173" s="2"/>
      <c r="AG173" s="2"/>
      <c r="AH173" s="2"/>
      <c r="AI173" s="2"/>
      <c r="AJ173" s="2"/>
      <c r="AK173" s="2"/>
      <c r="AL173" s="2"/>
    </row>
    <row r="174">
      <c r="A174" s="1"/>
      <c r="B174" s="2"/>
      <c r="C174" s="2"/>
      <c r="D174" s="2"/>
      <c r="E174" s="2"/>
      <c r="F174" s="2"/>
      <c r="G174" s="2"/>
      <c r="H174" s="2"/>
      <c r="I174" s="2"/>
      <c r="J174" s="2"/>
      <c r="K174" s="2"/>
      <c r="L174" s="2"/>
      <c r="M174" s="2"/>
      <c r="N174" s="2"/>
      <c r="O174" s="2"/>
      <c r="P174" s="2"/>
      <c r="Q174" s="2"/>
      <c r="R174" s="2"/>
      <c r="S174" s="2"/>
      <c r="T174" s="2"/>
      <c r="U174" s="2"/>
      <c r="V174" s="2"/>
      <c r="W174" s="2"/>
      <c r="X174" s="3"/>
      <c r="Y174" s="2"/>
      <c r="Z174" s="2"/>
      <c r="AA174" s="2"/>
      <c r="AB174" s="2"/>
      <c r="AC174" s="2"/>
      <c r="AD174" s="2"/>
      <c r="AE174" s="2"/>
      <c r="AF174" s="2"/>
      <c r="AG174" s="2"/>
      <c r="AH174" s="2"/>
      <c r="AI174" s="2"/>
      <c r="AJ174" s="2"/>
      <c r="AK174" s="2"/>
      <c r="AL174" s="2"/>
    </row>
    <row r="175">
      <c r="A175" s="1"/>
      <c r="B175" s="2"/>
      <c r="C175" s="2"/>
      <c r="D175" s="2"/>
      <c r="E175" s="2"/>
      <c r="F175" s="2"/>
      <c r="G175" s="2"/>
      <c r="H175" s="2"/>
      <c r="I175" s="2"/>
      <c r="J175" s="2"/>
      <c r="K175" s="2"/>
      <c r="L175" s="2"/>
      <c r="M175" s="2"/>
      <c r="N175" s="2"/>
      <c r="O175" s="2"/>
      <c r="P175" s="2"/>
      <c r="Q175" s="2"/>
      <c r="R175" s="2"/>
      <c r="S175" s="2"/>
      <c r="T175" s="2"/>
      <c r="U175" s="2"/>
      <c r="V175" s="2"/>
      <c r="W175" s="2"/>
      <c r="X175" s="3"/>
      <c r="Y175" s="2"/>
      <c r="Z175" s="2"/>
      <c r="AA175" s="2"/>
      <c r="AB175" s="2"/>
      <c r="AC175" s="2"/>
      <c r="AD175" s="2"/>
      <c r="AE175" s="2"/>
      <c r="AF175" s="2"/>
      <c r="AG175" s="2"/>
      <c r="AH175" s="2"/>
      <c r="AI175" s="2"/>
      <c r="AJ175" s="2"/>
      <c r="AK175" s="2"/>
      <c r="AL175" s="2"/>
    </row>
    <row r="176">
      <c r="A176" s="1"/>
      <c r="B176" s="2"/>
      <c r="C176" s="2"/>
      <c r="D176" s="2"/>
      <c r="E176" s="2"/>
      <c r="F176" s="2"/>
      <c r="G176" s="2"/>
      <c r="H176" s="2"/>
      <c r="I176" s="2"/>
      <c r="J176" s="2"/>
      <c r="K176" s="2"/>
      <c r="L176" s="2"/>
      <c r="M176" s="2"/>
      <c r="N176" s="2"/>
      <c r="O176" s="2"/>
      <c r="P176" s="2"/>
      <c r="Q176" s="2"/>
      <c r="R176" s="2"/>
      <c r="S176" s="2"/>
      <c r="T176" s="2"/>
      <c r="U176" s="2"/>
      <c r="V176" s="2"/>
      <c r="W176" s="2"/>
      <c r="X176" s="3"/>
      <c r="Y176" s="2"/>
      <c r="Z176" s="2"/>
      <c r="AA176" s="2"/>
      <c r="AB176" s="2"/>
      <c r="AC176" s="2"/>
      <c r="AD176" s="2"/>
      <c r="AE176" s="2"/>
      <c r="AF176" s="2"/>
      <c r="AG176" s="2"/>
      <c r="AH176" s="2"/>
      <c r="AI176" s="2"/>
      <c r="AJ176" s="2"/>
      <c r="AK176" s="2"/>
      <c r="AL176" s="2"/>
    </row>
    <row r="177">
      <c r="A177" s="1"/>
      <c r="B177" s="2"/>
      <c r="C177" s="2"/>
      <c r="D177" s="2"/>
      <c r="E177" s="2"/>
      <c r="F177" s="2"/>
      <c r="G177" s="2"/>
      <c r="H177" s="2"/>
      <c r="I177" s="2"/>
      <c r="J177" s="2"/>
      <c r="K177" s="2"/>
      <c r="L177" s="2"/>
      <c r="M177" s="2"/>
      <c r="N177" s="2"/>
      <c r="O177" s="2"/>
      <c r="P177" s="2"/>
      <c r="Q177" s="2"/>
      <c r="R177" s="2"/>
      <c r="S177" s="2"/>
      <c r="T177" s="2"/>
      <c r="U177" s="2"/>
      <c r="V177" s="2"/>
      <c r="W177" s="2"/>
      <c r="X177" s="3"/>
      <c r="Y177" s="2"/>
      <c r="Z177" s="2"/>
      <c r="AA177" s="2"/>
      <c r="AB177" s="2"/>
      <c r="AC177" s="2"/>
      <c r="AD177" s="2"/>
      <c r="AE177" s="2"/>
      <c r="AF177" s="2"/>
      <c r="AG177" s="2"/>
      <c r="AH177" s="2"/>
      <c r="AI177" s="2"/>
      <c r="AJ177" s="2"/>
      <c r="AK177" s="2"/>
      <c r="AL177" s="2"/>
    </row>
    <row r="178">
      <c r="A178" s="1"/>
      <c r="B178" s="2"/>
      <c r="C178" s="2"/>
      <c r="D178" s="2"/>
      <c r="E178" s="2"/>
      <c r="F178" s="2"/>
      <c r="G178" s="2"/>
      <c r="H178" s="2"/>
      <c r="I178" s="2"/>
      <c r="J178" s="2"/>
      <c r="K178" s="2"/>
      <c r="L178" s="2"/>
      <c r="M178" s="2"/>
      <c r="N178" s="2"/>
      <c r="O178" s="2"/>
      <c r="P178" s="2"/>
      <c r="Q178" s="2"/>
      <c r="R178" s="2"/>
      <c r="S178" s="2"/>
      <c r="T178" s="2"/>
      <c r="U178" s="2"/>
      <c r="V178" s="2"/>
      <c r="W178" s="2"/>
      <c r="X178" s="3"/>
      <c r="Y178" s="2"/>
      <c r="Z178" s="2"/>
      <c r="AA178" s="2"/>
      <c r="AB178" s="2"/>
      <c r="AC178" s="2"/>
      <c r="AD178" s="2"/>
      <c r="AE178" s="2"/>
      <c r="AF178" s="2"/>
      <c r="AG178" s="2"/>
      <c r="AH178" s="2"/>
      <c r="AI178" s="2"/>
      <c r="AJ178" s="2"/>
      <c r="AK178" s="2"/>
      <c r="AL178" s="2"/>
    </row>
    <row r="179">
      <c r="A179" s="1"/>
      <c r="B179" s="2"/>
      <c r="C179" s="2"/>
      <c r="D179" s="2"/>
      <c r="E179" s="2"/>
      <c r="F179" s="2"/>
      <c r="G179" s="2"/>
      <c r="H179" s="2"/>
      <c r="I179" s="2"/>
      <c r="J179" s="2"/>
      <c r="K179" s="2"/>
      <c r="L179" s="2"/>
      <c r="M179" s="2"/>
      <c r="N179" s="2"/>
      <c r="O179" s="2"/>
      <c r="P179" s="2"/>
      <c r="Q179" s="2"/>
      <c r="R179" s="2"/>
      <c r="S179" s="2"/>
      <c r="T179" s="2"/>
      <c r="U179" s="2"/>
      <c r="V179" s="2"/>
      <c r="W179" s="2"/>
      <c r="X179" s="3"/>
      <c r="Y179" s="2"/>
      <c r="Z179" s="2"/>
      <c r="AA179" s="2"/>
      <c r="AB179" s="2"/>
      <c r="AC179" s="2"/>
      <c r="AD179" s="2"/>
      <c r="AE179" s="2"/>
      <c r="AF179" s="2"/>
      <c r="AG179" s="2"/>
      <c r="AH179" s="2"/>
      <c r="AI179" s="2"/>
      <c r="AJ179" s="2"/>
      <c r="AK179" s="2"/>
      <c r="AL179" s="2"/>
    </row>
    <row r="180">
      <c r="A180" s="1"/>
      <c r="B180" s="2"/>
      <c r="C180" s="2"/>
      <c r="D180" s="2"/>
      <c r="E180" s="2"/>
      <c r="F180" s="2"/>
      <c r="G180" s="2"/>
      <c r="H180" s="2"/>
      <c r="I180" s="2"/>
      <c r="J180" s="2"/>
      <c r="K180" s="2"/>
      <c r="L180" s="2"/>
      <c r="M180" s="2"/>
      <c r="N180" s="2"/>
      <c r="O180" s="2"/>
      <c r="P180" s="2"/>
      <c r="Q180" s="2"/>
      <c r="R180" s="2"/>
      <c r="S180" s="2"/>
      <c r="T180" s="2"/>
      <c r="U180" s="2"/>
      <c r="V180" s="2"/>
      <c r="W180" s="2"/>
      <c r="X180" s="3"/>
      <c r="Y180" s="2"/>
      <c r="Z180" s="2"/>
      <c r="AA180" s="2"/>
      <c r="AB180" s="2"/>
      <c r="AC180" s="2"/>
      <c r="AD180" s="2"/>
      <c r="AE180" s="2"/>
      <c r="AF180" s="2"/>
      <c r="AG180" s="2"/>
      <c r="AH180" s="2"/>
      <c r="AI180" s="2"/>
      <c r="AJ180" s="2"/>
      <c r="AK180" s="2"/>
      <c r="AL180" s="2"/>
    </row>
    <row r="181">
      <c r="A181" s="1"/>
      <c r="B181" s="2"/>
      <c r="C181" s="2"/>
      <c r="D181" s="2"/>
      <c r="E181" s="2"/>
      <c r="F181" s="2"/>
      <c r="G181" s="2"/>
      <c r="H181" s="2"/>
      <c r="I181" s="2"/>
      <c r="J181" s="2"/>
      <c r="K181" s="2"/>
      <c r="L181" s="2"/>
      <c r="M181" s="2"/>
      <c r="N181" s="2"/>
      <c r="O181" s="2"/>
      <c r="P181" s="2"/>
      <c r="Q181" s="2"/>
      <c r="R181" s="2"/>
      <c r="S181" s="2"/>
      <c r="T181" s="2"/>
      <c r="U181" s="2"/>
      <c r="V181" s="2"/>
      <c r="W181" s="2"/>
      <c r="X181" s="3"/>
      <c r="Y181" s="2"/>
      <c r="Z181" s="2"/>
      <c r="AA181" s="2"/>
      <c r="AB181" s="2"/>
      <c r="AC181" s="2"/>
      <c r="AD181" s="2"/>
      <c r="AE181" s="2"/>
      <c r="AF181" s="2"/>
      <c r="AG181" s="2"/>
      <c r="AH181" s="2"/>
      <c r="AI181" s="2"/>
      <c r="AJ181" s="2"/>
      <c r="AK181" s="2"/>
      <c r="AL181" s="2"/>
    </row>
    <row r="182">
      <c r="A182" s="1"/>
      <c r="B182" s="2"/>
      <c r="C182" s="2"/>
      <c r="D182" s="2"/>
      <c r="E182" s="2"/>
      <c r="F182" s="2"/>
      <c r="G182" s="2"/>
      <c r="H182" s="2"/>
      <c r="I182" s="2"/>
      <c r="J182" s="2"/>
      <c r="K182" s="2"/>
      <c r="L182" s="2"/>
      <c r="M182" s="2"/>
      <c r="N182" s="2"/>
      <c r="O182" s="2"/>
      <c r="P182" s="2"/>
      <c r="Q182" s="2"/>
      <c r="R182" s="2"/>
      <c r="S182" s="2"/>
      <c r="T182" s="2"/>
      <c r="U182" s="2"/>
      <c r="V182" s="2"/>
      <c r="W182" s="2"/>
      <c r="X182" s="3"/>
      <c r="Y182" s="2"/>
      <c r="Z182" s="2"/>
      <c r="AA182" s="2"/>
      <c r="AB182" s="2"/>
      <c r="AC182" s="2"/>
      <c r="AD182" s="2"/>
      <c r="AE182" s="2"/>
      <c r="AF182" s="2"/>
      <c r="AG182" s="2"/>
      <c r="AH182" s="2"/>
      <c r="AI182" s="2"/>
      <c r="AJ182" s="2"/>
      <c r="AK182" s="2"/>
      <c r="AL182" s="2"/>
    </row>
    <row r="183">
      <c r="A183" s="1"/>
      <c r="B183" s="2"/>
      <c r="C183" s="2"/>
      <c r="D183" s="2"/>
      <c r="E183" s="2"/>
      <c r="F183" s="2"/>
      <c r="G183" s="2"/>
      <c r="H183" s="2"/>
      <c r="I183" s="2"/>
      <c r="J183" s="2"/>
      <c r="K183" s="2"/>
      <c r="L183" s="2"/>
      <c r="M183" s="2"/>
      <c r="N183" s="2"/>
      <c r="O183" s="2"/>
      <c r="P183" s="2"/>
      <c r="Q183" s="2"/>
      <c r="R183" s="2"/>
      <c r="S183" s="2"/>
      <c r="T183" s="2"/>
      <c r="U183" s="2"/>
      <c r="V183" s="2"/>
      <c r="W183" s="2"/>
      <c r="X183" s="3"/>
      <c r="Y183" s="2"/>
      <c r="Z183" s="2"/>
      <c r="AA183" s="2"/>
      <c r="AB183" s="2"/>
      <c r="AC183" s="2"/>
      <c r="AD183" s="2"/>
      <c r="AE183" s="2"/>
      <c r="AF183" s="2"/>
      <c r="AG183" s="2"/>
      <c r="AH183" s="2"/>
      <c r="AI183" s="2"/>
      <c r="AJ183" s="2"/>
      <c r="AK183" s="2"/>
      <c r="AL183" s="2"/>
    </row>
    <row r="184">
      <c r="A184" s="1"/>
      <c r="B184" s="2"/>
      <c r="C184" s="2"/>
      <c r="D184" s="2"/>
      <c r="E184" s="2"/>
      <c r="F184" s="2"/>
      <c r="G184" s="2"/>
      <c r="H184" s="2"/>
      <c r="I184" s="2"/>
      <c r="J184" s="2"/>
      <c r="K184" s="2"/>
      <c r="L184" s="2"/>
      <c r="M184" s="2"/>
      <c r="N184" s="2"/>
      <c r="O184" s="2"/>
      <c r="P184" s="2"/>
      <c r="Q184" s="2"/>
      <c r="R184" s="2"/>
      <c r="S184" s="2"/>
      <c r="T184" s="2"/>
      <c r="U184" s="2"/>
      <c r="V184" s="2"/>
      <c r="W184" s="2"/>
      <c r="X184" s="3"/>
      <c r="Y184" s="2"/>
      <c r="Z184" s="2"/>
      <c r="AA184" s="2"/>
      <c r="AB184" s="2"/>
      <c r="AC184" s="2"/>
      <c r="AD184" s="2"/>
      <c r="AE184" s="2"/>
      <c r="AF184" s="2"/>
      <c r="AG184" s="2"/>
      <c r="AH184" s="2"/>
      <c r="AI184" s="2"/>
      <c r="AJ184" s="2"/>
      <c r="AK184" s="2"/>
      <c r="AL184" s="2"/>
    </row>
    <row r="185">
      <c r="A185" s="1"/>
      <c r="B185" s="2"/>
      <c r="C185" s="2"/>
      <c r="D185" s="2"/>
      <c r="E185" s="2"/>
      <c r="F185" s="2"/>
      <c r="G185" s="2"/>
      <c r="H185" s="2"/>
      <c r="I185" s="2"/>
      <c r="J185" s="2"/>
      <c r="K185" s="2"/>
      <c r="L185" s="2"/>
      <c r="M185" s="2"/>
      <c r="N185" s="2"/>
      <c r="O185" s="2"/>
      <c r="P185" s="2"/>
      <c r="Q185" s="2"/>
      <c r="R185" s="2"/>
      <c r="S185" s="2"/>
      <c r="T185" s="2"/>
      <c r="U185" s="2"/>
      <c r="V185" s="2"/>
      <c r="W185" s="2"/>
      <c r="X185" s="3"/>
      <c r="Y185" s="2"/>
      <c r="Z185" s="2"/>
      <c r="AA185" s="2"/>
      <c r="AB185" s="2"/>
      <c r="AC185" s="2"/>
      <c r="AD185" s="2"/>
      <c r="AE185" s="2"/>
      <c r="AF185" s="2"/>
      <c r="AG185" s="2"/>
      <c r="AH185" s="2"/>
      <c r="AI185" s="2"/>
      <c r="AJ185" s="2"/>
      <c r="AK185" s="2"/>
      <c r="AL185" s="2"/>
    </row>
    <row r="186">
      <c r="A186" s="1"/>
      <c r="B186" s="2"/>
      <c r="C186" s="2"/>
      <c r="D186" s="2"/>
      <c r="E186" s="2"/>
      <c r="F186" s="2"/>
      <c r="G186" s="2"/>
      <c r="H186" s="2"/>
      <c r="I186" s="2"/>
      <c r="J186" s="2"/>
      <c r="K186" s="2"/>
      <c r="L186" s="2"/>
      <c r="M186" s="2"/>
      <c r="N186" s="2"/>
      <c r="O186" s="2"/>
      <c r="P186" s="2"/>
      <c r="Q186" s="2"/>
      <c r="R186" s="2"/>
      <c r="S186" s="2"/>
      <c r="T186" s="2"/>
      <c r="U186" s="2"/>
      <c r="V186" s="2"/>
      <c r="W186" s="2"/>
      <c r="X186" s="3"/>
      <c r="Y186" s="2"/>
      <c r="Z186" s="2"/>
      <c r="AA186" s="2"/>
      <c r="AB186" s="2"/>
      <c r="AC186" s="2"/>
      <c r="AD186" s="2"/>
      <c r="AE186" s="2"/>
      <c r="AF186" s="2"/>
      <c r="AG186" s="2"/>
      <c r="AH186" s="2"/>
      <c r="AI186" s="2"/>
      <c r="AJ186" s="2"/>
      <c r="AK186" s="2"/>
      <c r="AL186" s="2"/>
    </row>
    <row r="187">
      <c r="A187" s="1"/>
      <c r="B187" s="2"/>
      <c r="C187" s="2"/>
      <c r="D187" s="2"/>
      <c r="E187" s="2"/>
      <c r="F187" s="2"/>
      <c r="G187" s="2"/>
      <c r="H187" s="2"/>
      <c r="I187" s="2"/>
      <c r="J187" s="2"/>
      <c r="K187" s="2"/>
      <c r="L187" s="2"/>
      <c r="M187" s="2"/>
      <c r="N187" s="2"/>
      <c r="O187" s="2"/>
      <c r="P187" s="2"/>
      <c r="Q187" s="2"/>
      <c r="R187" s="2"/>
      <c r="S187" s="2"/>
      <c r="T187" s="2"/>
      <c r="U187" s="2"/>
      <c r="V187" s="2"/>
      <c r="W187" s="2"/>
      <c r="X187" s="3"/>
      <c r="Y187" s="2"/>
      <c r="Z187" s="2"/>
      <c r="AA187" s="2"/>
      <c r="AB187" s="2"/>
      <c r="AC187" s="2"/>
      <c r="AD187" s="2"/>
      <c r="AE187" s="2"/>
      <c r="AF187" s="2"/>
      <c r="AG187" s="2"/>
      <c r="AH187" s="2"/>
      <c r="AI187" s="2"/>
      <c r="AJ187" s="2"/>
      <c r="AK187" s="2"/>
      <c r="AL187" s="2"/>
    </row>
    <row r="188">
      <c r="A188" s="1"/>
      <c r="B188" s="2"/>
      <c r="C188" s="2"/>
      <c r="D188" s="2"/>
      <c r="E188" s="2"/>
      <c r="F188" s="2"/>
      <c r="G188" s="2"/>
      <c r="H188" s="2"/>
      <c r="I188" s="2"/>
      <c r="J188" s="2"/>
      <c r="K188" s="2"/>
      <c r="L188" s="2"/>
      <c r="M188" s="2"/>
      <c r="N188" s="2"/>
      <c r="O188" s="2"/>
      <c r="P188" s="2"/>
      <c r="Q188" s="2"/>
      <c r="R188" s="2"/>
      <c r="S188" s="2"/>
      <c r="T188" s="2"/>
      <c r="U188" s="2"/>
      <c r="V188" s="2"/>
      <c r="W188" s="2"/>
      <c r="X188" s="3"/>
      <c r="Y188" s="2"/>
      <c r="Z188" s="2"/>
      <c r="AA188" s="2"/>
      <c r="AB188" s="2"/>
      <c r="AC188" s="2"/>
      <c r="AD188" s="2"/>
      <c r="AE188" s="2"/>
      <c r="AF188" s="2"/>
      <c r="AG188" s="2"/>
      <c r="AH188" s="2"/>
      <c r="AI188" s="2"/>
      <c r="AJ188" s="2"/>
      <c r="AK188" s="2"/>
      <c r="AL188" s="2"/>
    </row>
    <row r="189">
      <c r="A189" s="1"/>
      <c r="B189" s="2"/>
      <c r="C189" s="2"/>
      <c r="D189" s="2"/>
      <c r="E189" s="2"/>
      <c r="F189" s="2"/>
      <c r="G189" s="2"/>
      <c r="H189" s="2"/>
      <c r="I189" s="2"/>
      <c r="J189" s="2"/>
      <c r="K189" s="2"/>
      <c r="L189" s="2"/>
      <c r="M189" s="2"/>
      <c r="N189" s="2"/>
      <c r="O189" s="2"/>
      <c r="P189" s="2"/>
      <c r="Q189" s="2"/>
      <c r="R189" s="2"/>
      <c r="S189" s="2"/>
      <c r="T189" s="2"/>
      <c r="U189" s="2"/>
      <c r="V189" s="2"/>
      <c r="W189" s="2"/>
      <c r="X189" s="3"/>
      <c r="Y189" s="2"/>
      <c r="Z189" s="2"/>
      <c r="AA189" s="2"/>
      <c r="AB189" s="2"/>
      <c r="AC189" s="2"/>
      <c r="AD189" s="2"/>
      <c r="AE189" s="2"/>
      <c r="AF189" s="2"/>
      <c r="AG189" s="2"/>
      <c r="AH189" s="2"/>
      <c r="AI189" s="2"/>
      <c r="AJ189" s="2"/>
      <c r="AK189" s="2"/>
      <c r="AL189" s="2"/>
    </row>
    <row r="190">
      <c r="A190" s="1"/>
      <c r="B190" s="2"/>
      <c r="C190" s="2"/>
      <c r="D190" s="2"/>
      <c r="E190" s="2"/>
      <c r="F190" s="2"/>
      <c r="G190" s="2"/>
      <c r="H190" s="2"/>
      <c r="I190" s="2"/>
      <c r="J190" s="2"/>
      <c r="K190" s="2"/>
      <c r="L190" s="2"/>
      <c r="M190" s="2"/>
      <c r="N190" s="2"/>
      <c r="O190" s="2"/>
      <c r="P190" s="2"/>
      <c r="Q190" s="2"/>
      <c r="R190" s="2"/>
      <c r="S190" s="2"/>
      <c r="T190" s="2"/>
      <c r="U190" s="2"/>
      <c r="V190" s="2"/>
      <c r="W190" s="2"/>
      <c r="X190" s="3"/>
      <c r="Y190" s="2"/>
      <c r="Z190" s="2"/>
      <c r="AA190" s="2"/>
      <c r="AB190" s="2"/>
      <c r="AC190" s="2"/>
      <c r="AD190" s="2"/>
      <c r="AE190" s="2"/>
      <c r="AF190" s="2"/>
      <c r="AG190" s="2"/>
      <c r="AH190" s="2"/>
      <c r="AI190" s="2"/>
      <c r="AJ190" s="2"/>
      <c r="AK190" s="2"/>
      <c r="AL190" s="2"/>
    </row>
    <row r="191">
      <c r="A191" s="1"/>
      <c r="B191" s="2"/>
      <c r="C191" s="2"/>
      <c r="D191" s="2"/>
      <c r="E191" s="2"/>
      <c r="F191" s="2"/>
      <c r="G191" s="2"/>
      <c r="H191" s="2"/>
      <c r="I191" s="2"/>
      <c r="J191" s="2"/>
      <c r="K191" s="2"/>
      <c r="L191" s="2"/>
      <c r="M191" s="2"/>
      <c r="N191" s="2"/>
      <c r="O191" s="2"/>
      <c r="P191" s="2"/>
      <c r="Q191" s="2"/>
      <c r="R191" s="2"/>
      <c r="S191" s="2"/>
      <c r="T191" s="2"/>
      <c r="U191" s="2"/>
      <c r="V191" s="2"/>
      <c r="W191" s="2"/>
      <c r="X191" s="3"/>
      <c r="Y191" s="2"/>
      <c r="Z191" s="2"/>
      <c r="AA191" s="2"/>
      <c r="AB191" s="2"/>
      <c r="AC191" s="2"/>
      <c r="AD191" s="2"/>
      <c r="AE191" s="2"/>
      <c r="AF191" s="2"/>
      <c r="AG191" s="2"/>
      <c r="AH191" s="2"/>
      <c r="AI191" s="2"/>
      <c r="AJ191" s="2"/>
      <c r="AK191" s="2"/>
      <c r="AL191" s="2"/>
    </row>
    <row r="192">
      <c r="A192" s="1"/>
      <c r="B192" s="2"/>
      <c r="C192" s="2"/>
      <c r="D192" s="2"/>
      <c r="E192" s="2"/>
      <c r="F192" s="2"/>
      <c r="G192" s="2"/>
      <c r="H192" s="2"/>
      <c r="I192" s="2"/>
      <c r="J192" s="2"/>
      <c r="K192" s="2"/>
      <c r="L192" s="2"/>
      <c r="M192" s="2"/>
      <c r="N192" s="2"/>
      <c r="O192" s="2"/>
      <c r="P192" s="2"/>
      <c r="Q192" s="2"/>
      <c r="R192" s="2"/>
      <c r="S192" s="2"/>
      <c r="T192" s="2"/>
      <c r="U192" s="2"/>
      <c r="V192" s="2"/>
      <c r="W192" s="2"/>
      <c r="X192" s="3"/>
      <c r="Y192" s="2"/>
      <c r="Z192" s="2"/>
      <c r="AA192" s="2"/>
      <c r="AB192" s="2"/>
      <c r="AC192" s="2"/>
      <c r="AD192" s="2"/>
      <c r="AE192" s="2"/>
      <c r="AF192" s="2"/>
      <c r="AG192" s="2"/>
      <c r="AH192" s="2"/>
      <c r="AI192" s="2"/>
      <c r="AJ192" s="2"/>
      <c r="AK192" s="2"/>
      <c r="AL192" s="2"/>
    </row>
    <row r="193">
      <c r="A193" s="1"/>
      <c r="B193" s="2"/>
      <c r="C193" s="2"/>
      <c r="D193" s="2"/>
      <c r="E193" s="2"/>
      <c r="F193" s="2"/>
      <c r="G193" s="2"/>
      <c r="H193" s="2"/>
      <c r="I193" s="2"/>
      <c r="J193" s="2"/>
      <c r="K193" s="2"/>
      <c r="L193" s="2"/>
      <c r="M193" s="2"/>
      <c r="N193" s="2"/>
      <c r="O193" s="2"/>
      <c r="P193" s="2"/>
      <c r="Q193" s="2"/>
      <c r="R193" s="2"/>
      <c r="S193" s="2"/>
      <c r="T193" s="2"/>
      <c r="U193" s="2"/>
      <c r="V193" s="2"/>
      <c r="W193" s="2"/>
      <c r="X193" s="3"/>
      <c r="Y193" s="2"/>
      <c r="Z193" s="2"/>
      <c r="AA193" s="2"/>
      <c r="AB193" s="2"/>
      <c r="AC193" s="2"/>
      <c r="AD193" s="2"/>
      <c r="AE193" s="2"/>
      <c r="AF193" s="2"/>
      <c r="AG193" s="2"/>
      <c r="AH193" s="2"/>
      <c r="AI193" s="2"/>
      <c r="AJ193" s="2"/>
      <c r="AK193" s="2"/>
      <c r="AL193" s="2"/>
    </row>
    <row r="194">
      <c r="A194" s="1"/>
      <c r="B194" s="2"/>
      <c r="C194" s="2"/>
      <c r="D194" s="2"/>
      <c r="E194" s="2"/>
      <c r="F194" s="2"/>
      <c r="G194" s="2"/>
      <c r="H194" s="2"/>
      <c r="I194" s="2"/>
      <c r="J194" s="2"/>
      <c r="K194" s="2"/>
      <c r="L194" s="2"/>
      <c r="M194" s="2"/>
      <c r="N194" s="2"/>
      <c r="O194" s="2"/>
      <c r="P194" s="2"/>
      <c r="Q194" s="2"/>
      <c r="R194" s="2"/>
      <c r="S194" s="2"/>
      <c r="T194" s="2"/>
      <c r="U194" s="2"/>
      <c r="V194" s="2"/>
      <c r="W194" s="2"/>
      <c r="X194" s="3"/>
      <c r="Y194" s="2"/>
      <c r="Z194" s="2"/>
      <c r="AA194" s="2"/>
      <c r="AB194" s="2"/>
      <c r="AC194" s="2"/>
      <c r="AD194" s="2"/>
      <c r="AE194" s="2"/>
      <c r="AF194" s="2"/>
      <c r="AG194" s="2"/>
      <c r="AH194" s="2"/>
      <c r="AI194" s="2"/>
      <c r="AJ194" s="2"/>
      <c r="AK194" s="2"/>
      <c r="AL194" s="2"/>
    </row>
    <row r="195">
      <c r="A195" s="1"/>
      <c r="B195" s="2"/>
      <c r="C195" s="2"/>
      <c r="D195" s="2"/>
      <c r="E195" s="2"/>
      <c r="F195" s="2"/>
      <c r="G195" s="2"/>
      <c r="H195" s="2"/>
      <c r="I195" s="2"/>
      <c r="J195" s="2"/>
      <c r="K195" s="2"/>
      <c r="L195" s="2"/>
      <c r="M195" s="2"/>
      <c r="N195" s="2"/>
      <c r="O195" s="2"/>
      <c r="P195" s="2"/>
      <c r="Q195" s="2"/>
      <c r="R195" s="2"/>
      <c r="S195" s="2"/>
      <c r="T195" s="2"/>
      <c r="U195" s="2"/>
      <c r="V195" s="2"/>
      <c r="W195" s="2"/>
      <c r="X195" s="3"/>
      <c r="Y195" s="2"/>
      <c r="Z195" s="2"/>
      <c r="AA195" s="2"/>
      <c r="AB195" s="2"/>
      <c r="AC195" s="2"/>
      <c r="AD195" s="2"/>
      <c r="AE195" s="2"/>
      <c r="AF195" s="2"/>
      <c r="AG195" s="2"/>
      <c r="AH195" s="2"/>
      <c r="AI195" s="2"/>
      <c r="AJ195" s="2"/>
      <c r="AK195" s="2"/>
      <c r="AL195" s="2"/>
    </row>
    <row r="196">
      <c r="A196" s="1"/>
      <c r="B196" s="2"/>
      <c r="C196" s="2"/>
      <c r="D196" s="2"/>
      <c r="E196" s="2"/>
      <c r="F196" s="2"/>
      <c r="G196" s="2"/>
      <c r="H196" s="2"/>
      <c r="I196" s="2"/>
      <c r="J196" s="2"/>
      <c r="K196" s="2"/>
      <c r="L196" s="2"/>
      <c r="M196" s="2"/>
      <c r="N196" s="2"/>
      <c r="O196" s="2"/>
      <c r="P196" s="2"/>
      <c r="Q196" s="2"/>
      <c r="R196" s="2"/>
      <c r="S196" s="2"/>
      <c r="T196" s="2"/>
      <c r="U196" s="2"/>
      <c r="V196" s="2"/>
      <c r="W196" s="2"/>
      <c r="X196" s="3"/>
      <c r="Y196" s="2"/>
      <c r="Z196" s="2"/>
      <c r="AA196" s="2"/>
      <c r="AB196" s="2"/>
      <c r="AC196" s="2"/>
      <c r="AD196" s="2"/>
      <c r="AE196" s="2"/>
      <c r="AF196" s="2"/>
      <c r="AG196" s="2"/>
      <c r="AH196" s="2"/>
      <c r="AI196" s="2"/>
      <c r="AJ196" s="2"/>
      <c r="AK196" s="2"/>
      <c r="AL196" s="2"/>
    </row>
    <row r="197">
      <c r="A197" s="1"/>
      <c r="B197" s="2"/>
      <c r="C197" s="2"/>
      <c r="D197" s="2"/>
      <c r="E197" s="2"/>
      <c r="F197" s="2"/>
      <c r="G197" s="2"/>
      <c r="H197" s="2"/>
      <c r="I197" s="2"/>
      <c r="J197" s="2"/>
      <c r="K197" s="2"/>
      <c r="L197" s="2"/>
      <c r="M197" s="2"/>
      <c r="N197" s="2"/>
      <c r="O197" s="2"/>
      <c r="P197" s="2"/>
      <c r="Q197" s="2"/>
      <c r="R197" s="2"/>
      <c r="S197" s="2"/>
      <c r="T197" s="2"/>
      <c r="U197" s="2"/>
      <c r="V197" s="2"/>
      <c r="W197" s="2"/>
      <c r="X197" s="3"/>
      <c r="Y197" s="2"/>
      <c r="Z197" s="2"/>
      <c r="AA197" s="2"/>
      <c r="AB197" s="2"/>
      <c r="AC197" s="2"/>
      <c r="AD197" s="2"/>
      <c r="AE197" s="2"/>
      <c r="AF197" s="2"/>
      <c r="AG197" s="2"/>
      <c r="AH197" s="2"/>
      <c r="AI197" s="2"/>
      <c r="AJ197" s="2"/>
      <c r="AK197" s="2"/>
      <c r="AL197" s="2"/>
    </row>
    <row r="198">
      <c r="A198" s="1"/>
      <c r="B198" s="2"/>
      <c r="C198" s="2"/>
      <c r="D198" s="2"/>
      <c r="E198" s="2"/>
      <c r="F198" s="2"/>
      <c r="G198" s="2"/>
      <c r="H198" s="2"/>
      <c r="I198" s="2"/>
      <c r="J198" s="2"/>
      <c r="K198" s="2"/>
      <c r="L198" s="2"/>
      <c r="M198" s="2"/>
      <c r="N198" s="2"/>
      <c r="O198" s="2"/>
      <c r="P198" s="2"/>
      <c r="Q198" s="2"/>
      <c r="R198" s="2"/>
      <c r="S198" s="2"/>
      <c r="T198" s="2"/>
      <c r="U198" s="2"/>
      <c r="V198" s="2"/>
      <c r="W198" s="2"/>
      <c r="X198" s="3"/>
      <c r="Y198" s="2"/>
      <c r="Z198" s="2"/>
      <c r="AA198" s="2"/>
      <c r="AB198" s="2"/>
      <c r="AC198" s="2"/>
      <c r="AD198" s="2"/>
      <c r="AE198" s="2"/>
      <c r="AF198" s="2"/>
      <c r="AG198" s="2"/>
      <c r="AH198" s="2"/>
      <c r="AI198" s="2"/>
      <c r="AJ198" s="2"/>
      <c r="AK198" s="2"/>
      <c r="AL198" s="2"/>
    </row>
    <row r="199">
      <c r="A199" s="1"/>
      <c r="B199" s="2"/>
      <c r="C199" s="2"/>
      <c r="D199" s="2"/>
      <c r="E199" s="2"/>
      <c r="F199" s="2"/>
      <c r="G199" s="2"/>
      <c r="H199" s="2"/>
      <c r="I199" s="2"/>
      <c r="J199" s="2"/>
      <c r="K199" s="2"/>
      <c r="L199" s="2"/>
      <c r="M199" s="2"/>
      <c r="N199" s="2"/>
      <c r="O199" s="2"/>
      <c r="P199" s="2"/>
      <c r="Q199" s="2"/>
      <c r="R199" s="2"/>
      <c r="S199" s="2"/>
      <c r="T199" s="2"/>
      <c r="U199" s="2"/>
      <c r="V199" s="2"/>
      <c r="W199" s="2"/>
      <c r="X199" s="3"/>
      <c r="Y199" s="2"/>
      <c r="Z199" s="2"/>
      <c r="AA199" s="2"/>
      <c r="AB199" s="2"/>
      <c r="AC199" s="2"/>
      <c r="AD199" s="2"/>
      <c r="AE199" s="2"/>
      <c r="AF199" s="2"/>
      <c r="AG199" s="2"/>
      <c r="AH199" s="2"/>
      <c r="AI199" s="2"/>
      <c r="AJ199" s="2"/>
      <c r="AK199" s="2"/>
      <c r="AL199" s="2"/>
    </row>
    <row r="200">
      <c r="A200" s="1"/>
      <c r="B200" s="2"/>
      <c r="C200" s="2"/>
      <c r="D200" s="2"/>
      <c r="E200" s="2"/>
      <c r="F200" s="2"/>
      <c r="G200" s="2"/>
      <c r="H200" s="2"/>
      <c r="I200" s="2"/>
      <c r="J200" s="2"/>
      <c r="K200" s="2"/>
      <c r="L200" s="2"/>
      <c r="M200" s="2"/>
      <c r="N200" s="2"/>
      <c r="O200" s="2"/>
      <c r="P200" s="2"/>
      <c r="Q200" s="2"/>
      <c r="R200" s="2"/>
      <c r="S200" s="2"/>
      <c r="T200" s="2"/>
      <c r="U200" s="2"/>
      <c r="V200" s="2"/>
      <c r="W200" s="2"/>
      <c r="X200" s="3"/>
      <c r="Y200" s="2"/>
      <c r="Z200" s="2"/>
      <c r="AA200" s="2"/>
      <c r="AB200" s="2"/>
      <c r="AC200" s="2"/>
      <c r="AD200" s="2"/>
      <c r="AE200" s="2"/>
      <c r="AF200" s="2"/>
      <c r="AG200" s="2"/>
      <c r="AH200" s="2"/>
      <c r="AI200" s="2"/>
      <c r="AJ200" s="2"/>
      <c r="AK200" s="2"/>
      <c r="AL200" s="2"/>
    </row>
    <row r="201">
      <c r="A201" s="1"/>
      <c r="B201" s="2"/>
      <c r="C201" s="2"/>
      <c r="D201" s="2"/>
      <c r="E201" s="2"/>
      <c r="F201" s="2"/>
      <c r="G201" s="2"/>
      <c r="H201" s="2"/>
      <c r="I201" s="2"/>
      <c r="J201" s="2"/>
      <c r="K201" s="2"/>
      <c r="L201" s="2"/>
      <c r="M201" s="2"/>
      <c r="N201" s="2"/>
      <c r="O201" s="2"/>
      <c r="P201" s="2"/>
      <c r="Q201" s="2"/>
      <c r="R201" s="2"/>
      <c r="S201" s="2"/>
      <c r="T201" s="2"/>
      <c r="U201" s="2"/>
      <c r="V201" s="2"/>
      <c r="W201" s="2"/>
      <c r="X201" s="3"/>
      <c r="Y201" s="2"/>
      <c r="Z201" s="2"/>
      <c r="AA201" s="2"/>
      <c r="AB201" s="2"/>
      <c r="AC201" s="2"/>
      <c r="AD201" s="2"/>
      <c r="AE201" s="2"/>
      <c r="AF201" s="2"/>
      <c r="AG201" s="2"/>
      <c r="AH201" s="2"/>
      <c r="AI201" s="2"/>
      <c r="AJ201" s="2"/>
      <c r="AK201" s="2"/>
      <c r="AL201" s="2"/>
    </row>
    <row r="202">
      <c r="A202" s="1"/>
      <c r="B202" s="2"/>
      <c r="C202" s="2"/>
      <c r="D202" s="2"/>
      <c r="E202" s="2"/>
      <c r="F202" s="2"/>
      <c r="G202" s="2"/>
      <c r="H202" s="2"/>
      <c r="I202" s="2"/>
      <c r="J202" s="2"/>
      <c r="K202" s="2"/>
      <c r="L202" s="2"/>
      <c r="M202" s="2"/>
      <c r="N202" s="2"/>
      <c r="O202" s="2"/>
      <c r="P202" s="2"/>
      <c r="Q202" s="2"/>
      <c r="R202" s="2"/>
      <c r="S202" s="2"/>
      <c r="T202" s="2"/>
      <c r="U202" s="2"/>
      <c r="V202" s="2"/>
      <c r="W202" s="2"/>
      <c r="X202" s="3"/>
      <c r="Y202" s="2"/>
      <c r="Z202" s="2"/>
      <c r="AA202" s="2"/>
      <c r="AB202" s="2"/>
      <c r="AC202" s="2"/>
      <c r="AD202" s="2"/>
      <c r="AE202" s="2"/>
      <c r="AF202" s="2"/>
      <c r="AG202" s="2"/>
      <c r="AH202" s="2"/>
      <c r="AI202" s="2"/>
      <c r="AJ202" s="2"/>
      <c r="AK202" s="2"/>
      <c r="AL202" s="2"/>
    </row>
    <row r="203">
      <c r="A203" s="1"/>
      <c r="B203" s="2"/>
      <c r="C203" s="2"/>
      <c r="D203" s="2"/>
      <c r="E203" s="2"/>
      <c r="F203" s="2"/>
      <c r="G203" s="2"/>
      <c r="H203" s="2"/>
      <c r="I203" s="2"/>
      <c r="J203" s="2"/>
      <c r="K203" s="2"/>
      <c r="L203" s="2"/>
      <c r="M203" s="2"/>
      <c r="N203" s="2"/>
      <c r="O203" s="2"/>
      <c r="P203" s="2"/>
      <c r="Q203" s="2"/>
      <c r="R203" s="2"/>
      <c r="S203" s="2"/>
      <c r="T203" s="2"/>
      <c r="U203" s="2"/>
      <c r="V203" s="2"/>
      <c r="W203" s="2"/>
      <c r="X203" s="3"/>
      <c r="Y203" s="2"/>
      <c r="Z203" s="2"/>
      <c r="AA203" s="2"/>
      <c r="AB203" s="2"/>
      <c r="AC203" s="2"/>
      <c r="AD203" s="2"/>
      <c r="AE203" s="2"/>
      <c r="AF203" s="2"/>
      <c r="AG203" s="2"/>
      <c r="AH203" s="2"/>
      <c r="AI203" s="2"/>
      <c r="AJ203" s="2"/>
      <c r="AK203" s="2"/>
      <c r="AL203" s="2"/>
    </row>
    <row r="204">
      <c r="A204" s="1"/>
      <c r="B204" s="2"/>
      <c r="C204" s="2"/>
      <c r="D204" s="2"/>
      <c r="E204" s="2"/>
      <c r="F204" s="2"/>
      <c r="G204" s="2"/>
      <c r="H204" s="2"/>
      <c r="I204" s="2"/>
      <c r="J204" s="2"/>
      <c r="K204" s="2"/>
      <c r="L204" s="2"/>
      <c r="M204" s="2"/>
      <c r="N204" s="2"/>
      <c r="O204" s="2"/>
      <c r="P204" s="2"/>
      <c r="Q204" s="2"/>
      <c r="R204" s="2"/>
      <c r="S204" s="2"/>
      <c r="T204" s="2"/>
      <c r="U204" s="2"/>
      <c r="V204" s="2"/>
      <c r="W204" s="2"/>
      <c r="X204" s="3"/>
      <c r="Y204" s="2"/>
      <c r="Z204" s="2"/>
      <c r="AA204" s="2"/>
      <c r="AB204" s="2"/>
      <c r="AC204" s="2"/>
      <c r="AD204" s="2"/>
      <c r="AE204" s="2"/>
      <c r="AF204" s="2"/>
      <c r="AG204" s="2"/>
      <c r="AH204" s="2"/>
      <c r="AI204" s="2"/>
      <c r="AJ204" s="2"/>
      <c r="AK204" s="2"/>
      <c r="AL204" s="2"/>
    </row>
    <row r="205">
      <c r="A205" s="1"/>
      <c r="B205" s="2"/>
      <c r="C205" s="2"/>
      <c r="D205" s="2"/>
      <c r="E205" s="2"/>
      <c r="F205" s="2"/>
      <c r="G205" s="2"/>
      <c r="H205" s="2"/>
      <c r="I205" s="2"/>
      <c r="J205" s="2"/>
      <c r="K205" s="2"/>
      <c r="L205" s="2"/>
      <c r="M205" s="2"/>
      <c r="N205" s="2"/>
      <c r="O205" s="2"/>
      <c r="P205" s="2"/>
      <c r="Q205" s="2"/>
      <c r="R205" s="2"/>
      <c r="S205" s="2"/>
      <c r="T205" s="2"/>
      <c r="U205" s="2"/>
      <c r="V205" s="2"/>
      <c r="W205" s="2"/>
      <c r="X205" s="3"/>
      <c r="Y205" s="2"/>
      <c r="Z205" s="2"/>
      <c r="AA205" s="2"/>
      <c r="AB205" s="2"/>
      <c r="AC205" s="2"/>
      <c r="AD205" s="2"/>
      <c r="AE205" s="2"/>
      <c r="AF205" s="2"/>
      <c r="AG205" s="2"/>
      <c r="AH205" s="2"/>
      <c r="AI205" s="2"/>
      <c r="AJ205" s="2"/>
      <c r="AK205" s="2"/>
      <c r="AL205" s="2"/>
    </row>
    <row r="206">
      <c r="A206" s="1"/>
      <c r="B206" s="2"/>
      <c r="C206" s="2"/>
      <c r="D206" s="2"/>
      <c r="E206" s="2"/>
      <c r="F206" s="2"/>
      <c r="G206" s="2"/>
      <c r="H206" s="2"/>
      <c r="I206" s="2"/>
      <c r="J206" s="2"/>
      <c r="K206" s="2"/>
      <c r="L206" s="2"/>
      <c r="M206" s="2"/>
      <c r="N206" s="2"/>
      <c r="O206" s="2"/>
      <c r="P206" s="2"/>
      <c r="Q206" s="2"/>
      <c r="R206" s="2"/>
      <c r="S206" s="2"/>
      <c r="T206" s="2"/>
      <c r="U206" s="2"/>
      <c r="V206" s="2"/>
      <c r="W206" s="2"/>
      <c r="X206" s="3"/>
      <c r="Y206" s="2"/>
      <c r="Z206" s="2"/>
      <c r="AA206" s="2"/>
      <c r="AB206" s="2"/>
      <c r="AC206" s="2"/>
      <c r="AD206" s="2"/>
      <c r="AE206" s="2"/>
      <c r="AF206" s="2"/>
      <c r="AG206" s="2"/>
      <c r="AH206" s="2"/>
      <c r="AI206" s="2"/>
      <c r="AJ206" s="2"/>
      <c r="AK206" s="2"/>
      <c r="AL206" s="2"/>
    </row>
    <row r="207">
      <c r="A207" s="1"/>
      <c r="B207" s="2"/>
      <c r="C207" s="2"/>
      <c r="D207" s="2"/>
      <c r="E207" s="2"/>
      <c r="F207" s="2"/>
      <c r="G207" s="2"/>
      <c r="H207" s="2"/>
      <c r="I207" s="2"/>
      <c r="J207" s="2"/>
      <c r="K207" s="2"/>
      <c r="L207" s="2"/>
      <c r="M207" s="2"/>
      <c r="N207" s="2"/>
      <c r="O207" s="2"/>
      <c r="P207" s="2"/>
      <c r="Q207" s="2"/>
      <c r="R207" s="2"/>
      <c r="S207" s="2"/>
      <c r="T207" s="2"/>
      <c r="U207" s="2"/>
      <c r="V207" s="2"/>
      <c r="W207" s="2"/>
      <c r="X207" s="3"/>
      <c r="Y207" s="2"/>
      <c r="Z207" s="2"/>
      <c r="AA207" s="2"/>
      <c r="AB207" s="2"/>
      <c r="AC207" s="2"/>
      <c r="AD207" s="2"/>
      <c r="AE207" s="2"/>
      <c r="AF207" s="2"/>
      <c r="AG207" s="2"/>
      <c r="AH207" s="2"/>
      <c r="AI207" s="2"/>
      <c r="AJ207" s="2"/>
      <c r="AK207" s="2"/>
      <c r="AL207" s="2"/>
    </row>
    <row r="208">
      <c r="A208" s="1"/>
      <c r="B208" s="2"/>
      <c r="C208" s="2"/>
      <c r="D208" s="2"/>
      <c r="E208" s="2"/>
      <c r="F208" s="2"/>
      <c r="G208" s="2"/>
      <c r="H208" s="2"/>
      <c r="I208" s="2"/>
      <c r="J208" s="2"/>
      <c r="K208" s="2"/>
      <c r="L208" s="2"/>
      <c r="M208" s="2"/>
      <c r="N208" s="2"/>
      <c r="O208" s="2"/>
      <c r="P208" s="2"/>
      <c r="Q208" s="2"/>
      <c r="R208" s="2"/>
      <c r="S208" s="2"/>
      <c r="T208" s="2"/>
      <c r="U208" s="2"/>
      <c r="V208" s="2"/>
      <c r="W208" s="2"/>
      <c r="X208" s="3"/>
      <c r="Y208" s="2"/>
      <c r="Z208" s="2"/>
      <c r="AA208" s="2"/>
      <c r="AB208" s="2"/>
      <c r="AC208" s="2"/>
      <c r="AD208" s="2"/>
      <c r="AE208" s="2"/>
      <c r="AF208" s="2"/>
      <c r="AG208" s="2"/>
      <c r="AH208" s="2"/>
      <c r="AI208" s="2"/>
      <c r="AJ208" s="2"/>
      <c r="AK208" s="2"/>
      <c r="AL208" s="2"/>
    </row>
    <row r="209">
      <c r="A209" s="1"/>
      <c r="B209" s="2"/>
      <c r="C209" s="2"/>
      <c r="D209" s="2"/>
      <c r="E209" s="2"/>
      <c r="F209" s="2"/>
      <c r="G209" s="2"/>
      <c r="H209" s="2"/>
      <c r="I209" s="2"/>
      <c r="J209" s="2"/>
      <c r="K209" s="2"/>
      <c r="L209" s="2"/>
      <c r="M209" s="2"/>
      <c r="N209" s="2"/>
      <c r="O209" s="2"/>
      <c r="P209" s="2"/>
      <c r="Q209" s="2"/>
      <c r="R209" s="2"/>
      <c r="S209" s="2"/>
      <c r="T209" s="2"/>
      <c r="U209" s="2"/>
      <c r="V209" s="2"/>
      <c r="W209" s="2"/>
      <c r="X209" s="3"/>
      <c r="Y209" s="2"/>
      <c r="Z209" s="2"/>
      <c r="AA209" s="2"/>
      <c r="AB209" s="2"/>
      <c r="AC209" s="2"/>
      <c r="AD209" s="2"/>
      <c r="AE209" s="2"/>
      <c r="AF209" s="2"/>
      <c r="AG209" s="2"/>
      <c r="AH209" s="2"/>
      <c r="AI209" s="2"/>
      <c r="AJ209" s="2"/>
      <c r="AK209" s="2"/>
      <c r="AL209" s="2"/>
    </row>
    <row r="210">
      <c r="A210" s="1"/>
      <c r="B210" s="2"/>
      <c r="C210" s="2"/>
      <c r="D210" s="2"/>
      <c r="E210" s="2"/>
      <c r="F210" s="2"/>
      <c r="G210" s="2"/>
      <c r="H210" s="2"/>
      <c r="I210" s="2"/>
      <c r="J210" s="2"/>
      <c r="K210" s="2"/>
      <c r="L210" s="2"/>
      <c r="M210" s="2"/>
      <c r="N210" s="2"/>
      <c r="O210" s="2"/>
      <c r="P210" s="2"/>
      <c r="Q210" s="2"/>
      <c r="R210" s="2"/>
      <c r="S210" s="2"/>
      <c r="T210" s="2"/>
      <c r="U210" s="2"/>
      <c r="V210" s="2"/>
      <c r="W210" s="2"/>
      <c r="X210" s="3"/>
      <c r="Y210" s="2"/>
      <c r="Z210" s="2"/>
      <c r="AA210" s="2"/>
      <c r="AB210" s="2"/>
      <c r="AC210" s="2"/>
      <c r="AD210" s="2"/>
      <c r="AE210" s="2"/>
      <c r="AF210" s="2"/>
      <c r="AG210" s="2"/>
      <c r="AH210" s="2"/>
      <c r="AI210" s="2"/>
      <c r="AJ210" s="2"/>
      <c r="AK210" s="2"/>
      <c r="AL210" s="2"/>
    </row>
    <row r="211">
      <c r="A211" s="1"/>
      <c r="B211" s="2"/>
      <c r="C211" s="2"/>
      <c r="D211" s="2"/>
      <c r="E211" s="2"/>
      <c r="F211" s="2"/>
      <c r="G211" s="2"/>
      <c r="H211" s="2"/>
      <c r="I211" s="2"/>
      <c r="J211" s="2"/>
      <c r="K211" s="2"/>
      <c r="L211" s="2"/>
      <c r="M211" s="2"/>
      <c r="N211" s="2"/>
      <c r="O211" s="2"/>
      <c r="P211" s="2"/>
      <c r="Q211" s="2"/>
      <c r="R211" s="2"/>
      <c r="S211" s="2"/>
      <c r="T211" s="2"/>
      <c r="U211" s="2"/>
      <c r="V211" s="2"/>
      <c r="W211" s="2"/>
      <c r="X211" s="3"/>
      <c r="Y211" s="2"/>
      <c r="Z211" s="2"/>
      <c r="AA211" s="2"/>
      <c r="AB211" s="2"/>
      <c r="AC211" s="2"/>
      <c r="AD211" s="2"/>
      <c r="AE211" s="2"/>
      <c r="AF211" s="2"/>
      <c r="AG211" s="2"/>
      <c r="AH211" s="2"/>
      <c r="AI211" s="2"/>
      <c r="AJ211" s="2"/>
      <c r="AK211" s="2"/>
      <c r="AL211" s="2"/>
    </row>
    <row r="212">
      <c r="A212" s="1"/>
      <c r="B212" s="2"/>
      <c r="C212" s="2"/>
      <c r="D212" s="2"/>
      <c r="E212" s="2"/>
      <c r="F212" s="2"/>
      <c r="G212" s="2"/>
      <c r="H212" s="2"/>
      <c r="I212" s="2"/>
      <c r="J212" s="2"/>
      <c r="K212" s="2"/>
      <c r="L212" s="2"/>
      <c r="M212" s="2"/>
      <c r="N212" s="2"/>
      <c r="O212" s="2"/>
      <c r="P212" s="2"/>
      <c r="Q212" s="2"/>
      <c r="R212" s="2"/>
      <c r="S212" s="2"/>
      <c r="T212" s="2"/>
      <c r="U212" s="2"/>
      <c r="V212" s="2"/>
      <c r="W212" s="2"/>
      <c r="X212" s="3"/>
      <c r="Y212" s="2"/>
      <c r="Z212" s="2"/>
      <c r="AA212" s="2"/>
      <c r="AB212" s="2"/>
      <c r="AC212" s="2"/>
      <c r="AD212" s="2"/>
      <c r="AE212" s="2"/>
      <c r="AF212" s="2"/>
      <c r="AG212" s="2"/>
      <c r="AH212" s="2"/>
      <c r="AI212" s="2"/>
      <c r="AJ212" s="2"/>
      <c r="AK212" s="2"/>
      <c r="AL212" s="2"/>
    </row>
    <row r="213">
      <c r="A213" s="1"/>
      <c r="B213" s="2"/>
      <c r="C213" s="2"/>
      <c r="D213" s="2"/>
      <c r="E213" s="2"/>
      <c r="F213" s="2"/>
      <c r="G213" s="2"/>
      <c r="H213" s="2"/>
      <c r="I213" s="2"/>
      <c r="J213" s="2"/>
      <c r="K213" s="2"/>
      <c r="L213" s="2"/>
      <c r="M213" s="2"/>
      <c r="N213" s="2"/>
      <c r="O213" s="2"/>
      <c r="P213" s="2"/>
      <c r="Q213" s="2"/>
      <c r="R213" s="2"/>
      <c r="S213" s="2"/>
      <c r="T213" s="2"/>
      <c r="U213" s="2"/>
      <c r="V213" s="2"/>
      <c r="W213" s="2"/>
      <c r="X213" s="3"/>
      <c r="Y213" s="2"/>
      <c r="Z213" s="2"/>
      <c r="AA213" s="2"/>
      <c r="AB213" s="2"/>
      <c r="AC213" s="2"/>
      <c r="AD213" s="2"/>
      <c r="AE213" s="2"/>
      <c r="AF213" s="2"/>
      <c r="AG213" s="2"/>
      <c r="AH213" s="2"/>
      <c r="AI213" s="2"/>
      <c r="AJ213" s="2"/>
      <c r="AK213" s="2"/>
      <c r="AL213" s="2"/>
    </row>
    <row r="214">
      <c r="A214" s="1"/>
      <c r="B214" s="2"/>
      <c r="C214" s="2"/>
      <c r="D214" s="2"/>
      <c r="E214" s="2"/>
      <c r="F214" s="2"/>
      <c r="G214" s="2"/>
      <c r="H214" s="2"/>
      <c r="I214" s="2"/>
      <c r="J214" s="2"/>
      <c r="K214" s="2"/>
      <c r="L214" s="2"/>
      <c r="M214" s="2"/>
      <c r="N214" s="2"/>
      <c r="O214" s="2"/>
      <c r="P214" s="2"/>
      <c r="Q214" s="2"/>
      <c r="R214" s="2"/>
      <c r="S214" s="2"/>
      <c r="T214" s="2"/>
      <c r="U214" s="2"/>
      <c r="V214" s="2"/>
      <c r="W214" s="2"/>
      <c r="X214" s="3"/>
      <c r="Y214" s="2"/>
      <c r="Z214" s="2"/>
      <c r="AA214" s="2"/>
      <c r="AB214" s="2"/>
      <c r="AC214" s="2"/>
      <c r="AD214" s="2"/>
      <c r="AE214" s="2"/>
      <c r="AF214" s="2"/>
      <c r="AG214" s="2"/>
      <c r="AH214" s="2"/>
      <c r="AI214" s="2"/>
      <c r="AJ214" s="2"/>
      <c r="AK214" s="2"/>
      <c r="AL214" s="2"/>
    </row>
    <row r="215">
      <c r="A215" s="1"/>
      <c r="B215" s="2"/>
      <c r="C215" s="2"/>
      <c r="D215" s="2"/>
      <c r="E215" s="2"/>
      <c r="F215" s="2"/>
      <c r="G215" s="2"/>
      <c r="H215" s="2"/>
      <c r="I215" s="2"/>
      <c r="J215" s="2"/>
      <c r="K215" s="2"/>
      <c r="L215" s="2"/>
      <c r="M215" s="2"/>
      <c r="N215" s="2"/>
      <c r="O215" s="2"/>
      <c r="P215" s="2"/>
      <c r="Q215" s="2"/>
      <c r="R215" s="2"/>
      <c r="S215" s="2"/>
      <c r="T215" s="2"/>
      <c r="U215" s="2"/>
      <c r="V215" s="2"/>
      <c r="W215" s="2"/>
      <c r="X215" s="3"/>
      <c r="Y215" s="2"/>
      <c r="Z215" s="2"/>
      <c r="AA215" s="2"/>
      <c r="AB215" s="2"/>
      <c r="AC215" s="2"/>
      <c r="AD215" s="2"/>
      <c r="AE215" s="2"/>
      <c r="AF215" s="2"/>
      <c r="AG215" s="2"/>
      <c r="AH215" s="2"/>
      <c r="AI215" s="2"/>
      <c r="AJ215" s="2"/>
      <c r="AK215" s="2"/>
      <c r="AL215" s="2"/>
    </row>
    <row r="216">
      <c r="A216" s="1"/>
      <c r="B216" s="2"/>
      <c r="C216" s="2"/>
      <c r="D216" s="2"/>
      <c r="E216" s="2"/>
      <c r="F216" s="2"/>
      <c r="G216" s="2"/>
      <c r="H216" s="2"/>
      <c r="I216" s="2"/>
      <c r="J216" s="2"/>
      <c r="K216" s="2"/>
      <c r="L216" s="2"/>
      <c r="M216" s="2"/>
      <c r="N216" s="2"/>
      <c r="O216" s="2"/>
      <c r="P216" s="2"/>
      <c r="Q216" s="2"/>
      <c r="R216" s="2"/>
      <c r="S216" s="2"/>
      <c r="T216" s="2"/>
      <c r="U216" s="2"/>
      <c r="V216" s="2"/>
      <c r="W216" s="2"/>
      <c r="X216" s="3"/>
      <c r="Y216" s="2"/>
      <c r="Z216" s="2"/>
      <c r="AA216" s="2"/>
      <c r="AB216" s="2"/>
      <c r="AC216" s="2"/>
      <c r="AD216" s="2"/>
      <c r="AE216" s="2"/>
      <c r="AF216" s="2"/>
      <c r="AG216" s="2"/>
      <c r="AH216" s="2"/>
      <c r="AI216" s="2"/>
      <c r="AJ216" s="2"/>
      <c r="AK216" s="2"/>
      <c r="AL216" s="2"/>
    </row>
    <row r="217">
      <c r="A217" s="1"/>
      <c r="B217" s="2"/>
      <c r="C217" s="2"/>
      <c r="D217" s="2"/>
      <c r="E217" s="2"/>
      <c r="F217" s="2"/>
      <c r="G217" s="2"/>
      <c r="H217" s="2"/>
      <c r="I217" s="2"/>
      <c r="J217" s="2"/>
      <c r="K217" s="2"/>
      <c r="L217" s="2"/>
      <c r="M217" s="2"/>
      <c r="N217" s="2"/>
      <c r="O217" s="2"/>
      <c r="P217" s="2"/>
      <c r="Q217" s="2"/>
      <c r="R217" s="2"/>
      <c r="S217" s="2"/>
      <c r="T217" s="2"/>
      <c r="U217" s="2"/>
      <c r="V217" s="2"/>
      <c r="W217" s="2"/>
      <c r="X217" s="3"/>
      <c r="Y217" s="2"/>
      <c r="Z217" s="2"/>
      <c r="AA217" s="2"/>
      <c r="AB217" s="2"/>
      <c r="AC217" s="2"/>
      <c r="AD217" s="2"/>
      <c r="AE217" s="2"/>
      <c r="AF217" s="2"/>
      <c r="AG217" s="2"/>
      <c r="AH217" s="2"/>
      <c r="AI217" s="2"/>
      <c r="AJ217" s="2"/>
      <c r="AK217" s="2"/>
      <c r="AL217" s="2"/>
    </row>
    <row r="218">
      <c r="A218" s="1"/>
      <c r="B218" s="2"/>
      <c r="C218" s="2"/>
      <c r="D218" s="2"/>
      <c r="E218" s="2"/>
      <c r="F218" s="2"/>
      <c r="G218" s="2"/>
      <c r="H218" s="2"/>
      <c r="I218" s="2"/>
      <c r="J218" s="2"/>
      <c r="K218" s="2"/>
      <c r="L218" s="2"/>
      <c r="M218" s="2"/>
      <c r="N218" s="2"/>
      <c r="O218" s="2"/>
      <c r="P218" s="2"/>
      <c r="Q218" s="2"/>
      <c r="R218" s="2"/>
      <c r="S218" s="2"/>
      <c r="T218" s="2"/>
      <c r="U218" s="2"/>
      <c r="V218" s="2"/>
      <c r="W218" s="2"/>
      <c r="X218" s="3"/>
      <c r="Y218" s="2"/>
      <c r="Z218" s="2"/>
      <c r="AA218" s="2"/>
      <c r="AB218" s="2"/>
      <c r="AC218" s="2"/>
      <c r="AD218" s="2"/>
      <c r="AE218" s="2"/>
      <c r="AF218" s="2"/>
      <c r="AG218" s="2"/>
      <c r="AH218" s="2"/>
      <c r="AI218" s="2"/>
      <c r="AJ218" s="2"/>
      <c r="AK218" s="2"/>
      <c r="AL218" s="2"/>
    </row>
    <row r="219">
      <c r="A219" s="1"/>
      <c r="B219" s="2"/>
      <c r="C219" s="2"/>
      <c r="D219" s="2"/>
      <c r="E219" s="2"/>
      <c r="F219" s="2"/>
      <c r="G219" s="2"/>
      <c r="H219" s="2"/>
      <c r="I219" s="2"/>
      <c r="J219" s="2"/>
      <c r="K219" s="2"/>
      <c r="L219" s="2"/>
      <c r="M219" s="2"/>
      <c r="N219" s="2"/>
      <c r="O219" s="2"/>
      <c r="P219" s="2"/>
      <c r="Q219" s="2"/>
      <c r="R219" s="2"/>
      <c r="S219" s="2"/>
      <c r="T219" s="2"/>
      <c r="U219" s="2"/>
      <c r="V219" s="2"/>
      <c r="W219" s="2"/>
      <c r="X219" s="3"/>
      <c r="Y219" s="2"/>
      <c r="Z219" s="2"/>
      <c r="AA219" s="2"/>
      <c r="AB219" s="2"/>
      <c r="AC219" s="2"/>
      <c r="AD219" s="2"/>
      <c r="AE219" s="2"/>
      <c r="AF219" s="2"/>
      <c r="AG219" s="2"/>
      <c r="AH219" s="2"/>
      <c r="AI219" s="2"/>
      <c r="AJ219" s="2"/>
      <c r="AK219" s="2"/>
      <c r="AL219" s="2"/>
    </row>
    <row r="220">
      <c r="A220" s="1"/>
      <c r="B220" s="2"/>
      <c r="C220" s="2"/>
      <c r="D220" s="2"/>
      <c r="E220" s="2"/>
      <c r="F220" s="2"/>
      <c r="G220" s="2"/>
      <c r="H220" s="2"/>
      <c r="I220" s="2"/>
      <c r="J220" s="2"/>
      <c r="K220" s="2"/>
      <c r="L220" s="2"/>
      <c r="M220" s="2"/>
      <c r="N220" s="2"/>
      <c r="O220" s="2"/>
      <c r="P220" s="2"/>
      <c r="Q220" s="2"/>
      <c r="R220" s="2"/>
      <c r="S220" s="2"/>
      <c r="T220" s="2"/>
      <c r="U220" s="2"/>
      <c r="V220" s="2"/>
      <c r="W220" s="2"/>
      <c r="X220" s="3"/>
      <c r="Y220" s="2"/>
      <c r="Z220" s="2"/>
      <c r="AA220" s="2"/>
      <c r="AB220" s="2"/>
      <c r="AC220" s="2"/>
      <c r="AD220" s="2"/>
      <c r="AE220" s="2"/>
      <c r="AF220" s="2"/>
      <c r="AG220" s="2"/>
      <c r="AH220" s="2"/>
      <c r="AI220" s="2"/>
      <c r="AJ220" s="2"/>
      <c r="AK220" s="2"/>
      <c r="AL220" s="2"/>
    </row>
    <row r="221">
      <c r="A221" s="1"/>
      <c r="B221" s="2"/>
      <c r="C221" s="2"/>
      <c r="D221" s="2"/>
      <c r="E221" s="2"/>
      <c r="F221" s="2"/>
      <c r="G221" s="2"/>
      <c r="H221" s="2"/>
      <c r="I221" s="2"/>
      <c r="J221" s="2"/>
      <c r="K221" s="2"/>
      <c r="L221" s="2"/>
      <c r="M221" s="2"/>
      <c r="N221" s="2"/>
      <c r="O221" s="2"/>
      <c r="P221" s="2"/>
      <c r="Q221" s="2"/>
      <c r="R221" s="2"/>
      <c r="S221" s="2"/>
      <c r="T221" s="2"/>
      <c r="U221" s="2"/>
      <c r="V221" s="2"/>
      <c r="W221" s="2"/>
      <c r="X221" s="3"/>
      <c r="Y221" s="2"/>
      <c r="Z221" s="2"/>
      <c r="AA221" s="2"/>
      <c r="AB221" s="2"/>
      <c r="AC221" s="2"/>
      <c r="AD221" s="2"/>
      <c r="AE221" s="2"/>
      <c r="AF221" s="2"/>
      <c r="AG221" s="2"/>
      <c r="AH221" s="2"/>
      <c r="AI221" s="2"/>
      <c r="AJ221" s="2"/>
      <c r="AK221" s="2"/>
      <c r="AL221" s="2"/>
    </row>
    <row r="222">
      <c r="A222" s="1"/>
      <c r="B222" s="2"/>
      <c r="C222" s="2"/>
      <c r="D222" s="2"/>
      <c r="E222" s="2"/>
      <c r="F222" s="2"/>
      <c r="G222" s="2"/>
      <c r="H222" s="2"/>
      <c r="I222" s="2"/>
      <c r="J222" s="2"/>
      <c r="K222" s="2"/>
      <c r="L222" s="2"/>
      <c r="M222" s="2"/>
      <c r="N222" s="2"/>
      <c r="O222" s="2"/>
      <c r="P222" s="2"/>
      <c r="Q222" s="2"/>
      <c r="R222" s="2"/>
      <c r="S222" s="2"/>
      <c r="T222" s="2"/>
      <c r="U222" s="2"/>
      <c r="V222" s="2"/>
      <c r="W222" s="2"/>
      <c r="X222" s="3"/>
      <c r="Y222" s="2"/>
      <c r="Z222" s="2"/>
      <c r="AA222" s="2"/>
      <c r="AB222" s="2"/>
      <c r="AC222" s="2"/>
      <c r="AD222" s="2"/>
      <c r="AE222" s="2"/>
      <c r="AF222" s="2"/>
      <c r="AG222" s="2"/>
      <c r="AH222" s="2"/>
      <c r="AI222" s="2"/>
      <c r="AJ222" s="2"/>
      <c r="AK222" s="2"/>
      <c r="AL222" s="2"/>
    </row>
    <row r="223">
      <c r="A223" s="1"/>
      <c r="B223" s="2"/>
      <c r="C223" s="2"/>
      <c r="D223" s="2"/>
      <c r="E223" s="2"/>
      <c r="F223" s="2"/>
      <c r="G223" s="2"/>
      <c r="H223" s="2"/>
      <c r="I223" s="2"/>
      <c r="J223" s="2"/>
      <c r="K223" s="2"/>
      <c r="L223" s="2"/>
      <c r="M223" s="2"/>
      <c r="N223" s="2"/>
      <c r="O223" s="2"/>
      <c r="P223" s="2"/>
      <c r="Q223" s="2"/>
      <c r="R223" s="2"/>
      <c r="S223" s="2"/>
      <c r="T223" s="2"/>
      <c r="U223" s="2"/>
      <c r="V223" s="2"/>
      <c r="W223" s="2"/>
      <c r="X223" s="3"/>
      <c r="Y223" s="2"/>
      <c r="Z223" s="2"/>
      <c r="AA223" s="2"/>
      <c r="AB223" s="2"/>
      <c r="AC223" s="2"/>
      <c r="AD223" s="2"/>
      <c r="AE223" s="2"/>
      <c r="AF223" s="2"/>
      <c r="AG223" s="2"/>
      <c r="AH223" s="2"/>
      <c r="AI223" s="2"/>
      <c r="AJ223" s="2"/>
      <c r="AK223" s="2"/>
      <c r="AL223" s="2"/>
    </row>
    <row r="224">
      <c r="A224" s="1"/>
      <c r="B224" s="2"/>
      <c r="C224" s="2"/>
      <c r="D224" s="2"/>
      <c r="E224" s="2"/>
      <c r="F224" s="2"/>
      <c r="G224" s="2"/>
      <c r="H224" s="2"/>
      <c r="I224" s="2"/>
      <c r="J224" s="2"/>
      <c r="K224" s="2"/>
      <c r="L224" s="2"/>
      <c r="M224" s="2"/>
      <c r="N224" s="2"/>
      <c r="O224" s="2"/>
      <c r="P224" s="2"/>
      <c r="Q224" s="2"/>
      <c r="R224" s="2"/>
      <c r="S224" s="2"/>
      <c r="T224" s="2"/>
      <c r="U224" s="2"/>
      <c r="V224" s="2"/>
      <c r="W224" s="2"/>
      <c r="X224" s="3"/>
      <c r="Y224" s="2"/>
      <c r="Z224" s="2"/>
      <c r="AA224" s="2"/>
      <c r="AB224" s="2"/>
      <c r="AC224" s="2"/>
      <c r="AD224" s="2"/>
      <c r="AE224" s="2"/>
      <c r="AF224" s="2"/>
      <c r="AG224" s="2"/>
      <c r="AH224" s="2"/>
      <c r="AI224" s="2"/>
      <c r="AJ224" s="2"/>
      <c r="AK224" s="2"/>
      <c r="AL224" s="2"/>
    </row>
    <row r="225">
      <c r="A225" s="1"/>
      <c r="B225" s="2"/>
      <c r="C225" s="2"/>
      <c r="D225" s="2"/>
      <c r="E225" s="2"/>
      <c r="F225" s="2"/>
      <c r="G225" s="2"/>
      <c r="H225" s="2"/>
      <c r="I225" s="2"/>
      <c r="J225" s="2"/>
      <c r="K225" s="2"/>
      <c r="L225" s="2"/>
      <c r="M225" s="2"/>
      <c r="N225" s="2"/>
      <c r="O225" s="2"/>
      <c r="P225" s="2"/>
      <c r="Q225" s="2"/>
      <c r="R225" s="2"/>
      <c r="S225" s="2"/>
      <c r="T225" s="2"/>
      <c r="U225" s="2"/>
      <c r="V225" s="2"/>
      <c r="W225" s="2"/>
      <c r="X225" s="3"/>
      <c r="Y225" s="2"/>
      <c r="Z225" s="2"/>
      <c r="AA225" s="2"/>
      <c r="AB225" s="2"/>
      <c r="AC225" s="2"/>
      <c r="AD225" s="2"/>
      <c r="AE225" s="2"/>
      <c r="AF225" s="2"/>
      <c r="AG225" s="2"/>
      <c r="AH225" s="2"/>
      <c r="AI225" s="2"/>
      <c r="AJ225" s="2"/>
      <c r="AK225" s="2"/>
      <c r="AL225" s="2"/>
    </row>
    <row r="226">
      <c r="A226" s="1"/>
      <c r="B226" s="2"/>
      <c r="C226" s="2"/>
      <c r="D226" s="2"/>
      <c r="E226" s="2"/>
      <c r="F226" s="2"/>
      <c r="G226" s="2"/>
      <c r="H226" s="2"/>
      <c r="I226" s="2"/>
      <c r="J226" s="2"/>
      <c r="K226" s="2"/>
      <c r="L226" s="2"/>
      <c r="M226" s="2"/>
      <c r="N226" s="2"/>
      <c r="O226" s="2"/>
      <c r="P226" s="2"/>
      <c r="Q226" s="2"/>
      <c r="R226" s="2"/>
      <c r="S226" s="2"/>
      <c r="T226" s="2"/>
      <c r="U226" s="2"/>
      <c r="V226" s="2"/>
      <c r="W226" s="2"/>
      <c r="X226" s="3"/>
      <c r="Y226" s="2"/>
      <c r="Z226" s="2"/>
      <c r="AA226" s="2"/>
      <c r="AB226" s="2"/>
      <c r="AC226" s="2"/>
      <c r="AD226" s="2"/>
      <c r="AE226" s="2"/>
      <c r="AF226" s="2"/>
      <c r="AG226" s="2"/>
      <c r="AH226" s="2"/>
      <c r="AI226" s="2"/>
      <c r="AJ226" s="2"/>
      <c r="AK226" s="2"/>
      <c r="AL226" s="2"/>
    </row>
    <row r="227">
      <c r="A227" s="1"/>
      <c r="B227" s="2"/>
      <c r="C227" s="2"/>
      <c r="D227" s="2"/>
      <c r="E227" s="2"/>
      <c r="F227" s="2"/>
      <c r="G227" s="2"/>
      <c r="H227" s="2"/>
      <c r="I227" s="2"/>
      <c r="J227" s="2"/>
      <c r="K227" s="2"/>
      <c r="L227" s="2"/>
      <c r="M227" s="2"/>
      <c r="N227" s="2"/>
      <c r="O227" s="2"/>
      <c r="P227" s="2"/>
      <c r="Q227" s="2"/>
      <c r="R227" s="2"/>
      <c r="S227" s="2"/>
      <c r="T227" s="2"/>
      <c r="U227" s="2"/>
      <c r="V227" s="2"/>
      <c r="W227" s="2"/>
      <c r="X227" s="3"/>
      <c r="Y227" s="2"/>
      <c r="Z227" s="2"/>
      <c r="AA227" s="2"/>
      <c r="AB227" s="2"/>
      <c r="AC227" s="2"/>
      <c r="AD227" s="2"/>
      <c r="AE227" s="2"/>
      <c r="AF227" s="2"/>
      <c r="AG227" s="2"/>
      <c r="AH227" s="2"/>
      <c r="AI227" s="2"/>
      <c r="AJ227" s="2"/>
      <c r="AK227" s="2"/>
      <c r="AL227" s="2"/>
    </row>
    <row r="228">
      <c r="A228" s="1"/>
      <c r="B228" s="2"/>
      <c r="C228" s="2"/>
      <c r="D228" s="2"/>
      <c r="E228" s="2"/>
      <c r="F228" s="2"/>
      <c r="G228" s="2"/>
      <c r="H228" s="2"/>
      <c r="I228" s="2"/>
      <c r="J228" s="2"/>
      <c r="K228" s="2"/>
      <c r="L228" s="2"/>
      <c r="M228" s="2"/>
      <c r="N228" s="2"/>
      <c r="O228" s="2"/>
      <c r="P228" s="2"/>
      <c r="Q228" s="2"/>
      <c r="R228" s="2"/>
      <c r="S228" s="2"/>
      <c r="T228" s="2"/>
      <c r="U228" s="2"/>
      <c r="V228" s="2"/>
      <c r="W228" s="2"/>
      <c r="X228" s="3"/>
      <c r="Y228" s="2"/>
      <c r="Z228" s="2"/>
      <c r="AA228" s="2"/>
      <c r="AB228" s="2"/>
      <c r="AC228" s="2"/>
      <c r="AD228" s="2"/>
      <c r="AE228" s="2"/>
      <c r="AF228" s="2"/>
      <c r="AG228" s="2"/>
      <c r="AH228" s="2"/>
      <c r="AI228" s="2"/>
      <c r="AJ228" s="2"/>
      <c r="AK228" s="2"/>
      <c r="AL228" s="2"/>
    </row>
    <row r="229">
      <c r="A229" s="1"/>
      <c r="B229" s="2"/>
      <c r="C229" s="2"/>
      <c r="D229" s="2"/>
      <c r="E229" s="2"/>
      <c r="F229" s="2"/>
      <c r="G229" s="2"/>
      <c r="H229" s="2"/>
      <c r="I229" s="2"/>
      <c r="J229" s="2"/>
      <c r="K229" s="2"/>
      <c r="L229" s="2"/>
      <c r="M229" s="2"/>
      <c r="N229" s="2"/>
      <c r="O229" s="2"/>
      <c r="P229" s="2"/>
      <c r="Q229" s="2"/>
      <c r="R229" s="2"/>
      <c r="S229" s="2"/>
      <c r="T229" s="2"/>
      <c r="U229" s="2"/>
      <c r="V229" s="2"/>
      <c r="W229" s="2"/>
      <c r="X229" s="3"/>
      <c r="Y229" s="2"/>
      <c r="Z229" s="2"/>
      <c r="AA229" s="2"/>
      <c r="AB229" s="2"/>
      <c r="AC229" s="2"/>
      <c r="AD229" s="2"/>
      <c r="AE229" s="2"/>
      <c r="AF229" s="2"/>
      <c r="AG229" s="2"/>
      <c r="AH229" s="2"/>
      <c r="AI229" s="2"/>
      <c r="AJ229" s="2"/>
      <c r="AK229" s="2"/>
      <c r="AL229" s="2"/>
    </row>
    <row r="230">
      <c r="A230" s="1"/>
      <c r="B230" s="2"/>
      <c r="C230" s="2"/>
      <c r="D230" s="2"/>
      <c r="E230" s="2"/>
      <c r="F230" s="2"/>
      <c r="G230" s="2"/>
      <c r="H230" s="2"/>
      <c r="I230" s="2"/>
      <c r="J230" s="2"/>
      <c r="K230" s="2"/>
      <c r="L230" s="2"/>
      <c r="M230" s="2"/>
      <c r="N230" s="2"/>
      <c r="O230" s="2"/>
      <c r="P230" s="2"/>
      <c r="Q230" s="2"/>
      <c r="R230" s="2"/>
      <c r="S230" s="2"/>
      <c r="T230" s="2"/>
      <c r="U230" s="2"/>
      <c r="V230" s="2"/>
      <c r="W230" s="2"/>
      <c r="X230" s="3"/>
      <c r="Y230" s="2"/>
      <c r="Z230" s="2"/>
      <c r="AA230" s="2"/>
      <c r="AB230" s="2"/>
      <c r="AC230" s="2"/>
      <c r="AD230" s="2"/>
      <c r="AE230" s="2"/>
      <c r="AF230" s="2"/>
      <c r="AG230" s="2"/>
      <c r="AH230" s="2"/>
      <c r="AI230" s="2"/>
      <c r="AJ230" s="2"/>
      <c r="AK230" s="2"/>
      <c r="AL230" s="2"/>
    </row>
    <row r="231">
      <c r="A231" s="1"/>
      <c r="B231" s="2"/>
      <c r="C231" s="2"/>
      <c r="D231" s="2"/>
      <c r="E231" s="2"/>
      <c r="F231" s="2"/>
      <c r="G231" s="2"/>
      <c r="H231" s="2"/>
      <c r="I231" s="2"/>
      <c r="J231" s="2"/>
      <c r="K231" s="2"/>
      <c r="L231" s="2"/>
      <c r="M231" s="2"/>
      <c r="N231" s="2"/>
      <c r="O231" s="2"/>
      <c r="P231" s="2"/>
      <c r="Q231" s="2"/>
      <c r="R231" s="2"/>
      <c r="S231" s="2"/>
      <c r="T231" s="2"/>
      <c r="U231" s="2"/>
      <c r="V231" s="2"/>
      <c r="W231" s="2"/>
      <c r="X231" s="3"/>
      <c r="Y231" s="2"/>
      <c r="Z231" s="2"/>
      <c r="AA231" s="2"/>
      <c r="AB231" s="2"/>
      <c r="AC231" s="2"/>
      <c r="AD231" s="2"/>
      <c r="AE231" s="2"/>
      <c r="AF231" s="2"/>
      <c r="AG231" s="2"/>
      <c r="AH231" s="2"/>
      <c r="AI231" s="2"/>
      <c r="AJ231" s="2"/>
      <c r="AK231" s="2"/>
      <c r="AL231" s="2"/>
    </row>
    <row r="232">
      <c r="A232" s="1"/>
      <c r="B232" s="2"/>
      <c r="C232" s="2"/>
      <c r="D232" s="2"/>
      <c r="E232" s="2"/>
      <c r="F232" s="2"/>
      <c r="G232" s="2"/>
      <c r="H232" s="2"/>
      <c r="I232" s="2"/>
      <c r="J232" s="2"/>
      <c r="K232" s="2"/>
      <c r="L232" s="2"/>
      <c r="M232" s="2"/>
      <c r="N232" s="2"/>
      <c r="O232" s="2"/>
      <c r="P232" s="2"/>
      <c r="Q232" s="2"/>
      <c r="R232" s="2"/>
      <c r="S232" s="2"/>
      <c r="T232" s="2"/>
      <c r="U232" s="2"/>
      <c r="V232" s="2"/>
      <c r="W232" s="2"/>
      <c r="X232" s="3"/>
      <c r="Y232" s="2"/>
      <c r="Z232" s="2"/>
      <c r="AA232" s="2"/>
      <c r="AB232" s="2"/>
      <c r="AC232" s="2"/>
      <c r="AD232" s="2"/>
      <c r="AE232" s="2"/>
      <c r="AF232" s="2"/>
      <c r="AG232" s="2"/>
      <c r="AH232" s="2"/>
      <c r="AI232" s="2"/>
      <c r="AJ232" s="2"/>
      <c r="AK232" s="2"/>
      <c r="AL232" s="2"/>
    </row>
    <row r="233">
      <c r="A233" s="1"/>
      <c r="B233" s="2"/>
      <c r="C233" s="2"/>
      <c r="D233" s="2"/>
      <c r="E233" s="2"/>
      <c r="F233" s="2"/>
      <c r="G233" s="2"/>
      <c r="H233" s="2"/>
      <c r="I233" s="2"/>
      <c r="J233" s="2"/>
      <c r="K233" s="2"/>
      <c r="L233" s="2"/>
      <c r="M233" s="2"/>
      <c r="N233" s="2"/>
      <c r="O233" s="2"/>
      <c r="P233" s="2"/>
      <c r="Q233" s="2"/>
      <c r="R233" s="2"/>
      <c r="S233" s="2"/>
      <c r="T233" s="2"/>
      <c r="U233" s="2"/>
      <c r="V233" s="2"/>
      <c r="W233" s="2"/>
      <c r="X233" s="3"/>
      <c r="Y233" s="2"/>
      <c r="Z233" s="2"/>
      <c r="AA233" s="2"/>
      <c r="AB233" s="2"/>
      <c r="AC233" s="2"/>
      <c r="AD233" s="2"/>
      <c r="AE233" s="2"/>
      <c r="AF233" s="2"/>
      <c r="AG233" s="2"/>
      <c r="AH233" s="2"/>
      <c r="AI233" s="2"/>
      <c r="AJ233" s="2"/>
      <c r="AK233" s="2"/>
      <c r="AL233" s="2"/>
    </row>
    <row r="234">
      <c r="A234" s="1"/>
      <c r="B234" s="2"/>
      <c r="C234" s="2"/>
      <c r="D234" s="2"/>
      <c r="E234" s="2"/>
      <c r="F234" s="2"/>
      <c r="G234" s="2"/>
      <c r="H234" s="2"/>
      <c r="I234" s="2"/>
      <c r="J234" s="2"/>
      <c r="K234" s="2"/>
      <c r="L234" s="2"/>
      <c r="M234" s="2"/>
      <c r="N234" s="2"/>
      <c r="O234" s="2"/>
      <c r="P234" s="2"/>
      <c r="Q234" s="2"/>
      <c r="R234" s="2"/>
      <c r="S234" s="2"/>
      <c r="T234" s="2"/>
      <c r="U234" s="2"/>
      <c r="V234" s="2"/>
      <c r="W234" s="2"/>
      <c r="X234" s="3"/>
      <c r="Y234" s="2"/>
      <c r="Z234" s="2"/>
      <c r="AA234" s="2"/>
      <c r="AB234" s="2"/>
      <c r="AC234" s="2"/>
      <c r="AD234" s="2"/>
      <c r="AE234" s="2"/>
      <c r="AF234" s="2"/>
      <c r="AG234" s="2"/>
      <c r="AH234" s="2"/>
      <c r="AI234" s="2"/>
      <c r="AJ234" s="2"/>
      <c r="AK234" s="2"/>
      <c r="AL234" s="2"/>
    </row>
    <row r="235">
      <c r="A235" s="1"/>
      <c r="B235" s="2"/>
      <c r="C235" s="2"/>
      <c r="D235" s="2"/>
      <c r="E235" s="2"/>
      <c r="F235" s="2"/>
      <c r="G235" s="2"/>
      <c r="H235" s="2"/>
      <c r="I235" s="2"/>
      <c r="J235" s="2"/>
      <c r="K235" s="2"/>
      <c r="L235" s="2"/>
      <c r="M235" s="2"/>
      <c r="N235" s="2"/>
      <c r="O235" s="2"/>
      <c r="P235" s="2"/>
      <c r="Q235" s="2"/>
      <c r="R235" s="2"/>
      <c r="S235" s="2"/>
      <c r="T235" s="2"/>
      <c r="U235" s="2"/>
      <c r="V235" s="2"/>
      <c r="W235" s="2"/>
      <c r="X235" s="3"/>
      <c r="Y235" s="2"/>
      <c r="Z235" s="2"/>
      <c r="AA235" s="2"/>
      <c r="AB235" s="2"/>
      <c r="AC235" s="2"/>
      <c r="AD235" s="2"/>
      <c r="AE235" s="2"/>
      <c r="AF235" s="2"/>
      <c r="AG235" s="2"/>
      <c r="AH235" s="2"/>
      <c r="AI235" s="2"/>
      <c r="AJ235" s="2"/>
      <c r="AK235" s="2"/>
      <c r="AL235" s="2"/>
    </row>
    <row r="236">
      <c r="A236" s="1"/>
      <c r="B236" s="2"/>
      <c r="C236" s="2"/>
      <c r="D236" s="2"/>
      <c r="E236" s="2"/>
      <c r="F236" s="2"/>
      <c r="G236" s="2"/>
      <c r="H236" s="2"/>
      <c r="I236" s="2"/>
      <c r="J236" s="2"/>
      <c r="K236" s="2"/>
      <c r="L236" s="2"/>
      <c r="M236" s="2"/>
      <c r="N236" s="2"/>
      <c r="O236" s="2"/>
      <c r="P236" s="2"/>
      <c r="Q236" s="2"/>
      <c r="R236" s="2"/>
      <c r="S236" s="2"/>
      <c r="T236" s="2"/>
      <c r="U236" s="2"/>
      <c r="V236" s="2"/>
      <c r="W236" s="2"/>
      <c r="X236" s="3"/>
      <c r="Y236" s="2"/>
      <c r="Z236" s="2"/>
      <c r="AA236" s="2"/>
      <c r="AB236" s="2"/>
      <c r="AC236" s="2"/>
      <c r="AD236" s="2"/>
      <c r="AE236" s="2"/>
      <c r="AF236" s="2"/>
      <c r="AG236" s="2"/>
      <c r="AH236" s="2"/>
      <c r="AI236" s="2"/>
      <c r="AJ236" s="2"/>
      <c r="AK236" s="2"/>
      <c r="AL236" s="2"/>
    </row>
    <row r="237">
      <c r="A237" s="1"/>
      <c r="B237" s="2"/>
      <c r="C237" s="2"/>
      <c r="D237" s="2"/>
      <c r="E237" s="2"/>
      <c r="F237" s="2"/>
      <c r="G237" s="2"/>
      <c r="H237" s="2"/>
      <c r="I237" s="2"/>
      <c r="J237" s="2"/>
      <c r="K237" s="2"/>
      <c r="L237" s="2"/>
      <c r="M237" s="2"/>
      <c r="N237" s="2"/>
      <c r="O237" s="2"/>
      <c r="P237" s="2"/>
      <c r="Q237" s="2"/>
      <c r="R237" s="2"/>
      <c r="S237" s="2"/>
      <c r="T237" s="2"/>
      <c r="U237" s="2"/>
      <c r="V237" s="2"/>
      <c r="W237" s="2"/>
      <c r="X237" s="3"/>
      <c r="Y237" s="2"/>
      <c r="Z237" s="2"/>
      <c r="AA237" s="2"/>
      <c r="AB237" s="2"/>
      <c r="AC237" s="2"/>
      <c r="AD237" s="2"/>
      <c r="AE237" s="2"/>
      <c r="AF237" s="2"/>
      <c r="AG237" s="2"/>
      <c r="AH237" s="2"/>
      <c r="AI237" s="2"/>
      <c r="AJ237" s="2"/>
      <c r="AK237" s="2"/>
      <c r="AL237" s="2"/>
    </row>
    <row r="238">
      <c r="A238" s="1"/>
      <c r="B238" s="2"/>
      <c r="C238" s="2"/>
      <c r="D238" s="2"/>
      <c r="E238" s="2"/>
      <c r="F238" s="2"/>
      <c r="G238" s="2"/>
      <c r="H238" s="2"/>
      <c r="I238" s="2"/>
      <c r="J238" s="2"/>
      <c r="K238" s="2"/>
      <c r="L238" s="2"/>
      <c r="M238" s="2"/>
      <c r="N238" s="2"/>
      <c r="O238" s="2"/>
      <c r="P238" s="2"/>
      <c r="Q238" s="2"/>
      <c r="R238" s="2"/>
      <c r="S238" s="2"/>
      <c r="T238" s="2"/>
      <c r="U238" s="2"/>
      <c r="V238" s="2"/>
      <c r="W238" s="2"/>
      <c r="X238" s="3"/>
      <c r="Y238" s="2"/>
      <c r="Z238" s="2"/>
      <c r="AA238" s="2"/>
      <c r="AB238" s="2"/>
      <c r="AC238" s="2"/>
      <c r="AD238" s="2"/>
      <c r="AE238" s="2"/>
      <c r="AF238" s="2"/>
      <c r="AG238" s="2"/>
      <c r="AH238" s="2"/>
      <c r="AI238" s="2"/>
      <c r="AJ238" s="2"/>
      <c r="AK238" s="2"/>
      <c r="AL238" s="2"/>
    </row>
    <row r="239">
      <c r="A239" s="1"/>
      <c r="B239" s="2"/>
      <c r="C239" s="2"/>
      <c r="D239" s="2"/>
      <c r="E239" s="2"/>
      <c r="F239" s="2"/>
      <c r="G239" s="2"/>
      <c r="H239" s="2"/>
      <c r="I239" s="2"/>
      <c r="J239" s="2"/>
      <c r="K239" s="2"/>
      <c r="L239" s="2"/>
      <c r="M239" s="2"/>
      <c r="N239" s="2"/>
      <c r="O239" s="2"/>
      <c r="P239" s="2"/>
      <c r="Q239" s="2"/>
      <c r="R239" s="2"/>
      <c r="S239" s="2"/>
      <c r="T239" s="2"/>
      <c r="U239" s="2"/>
      <c r="V239" s="2"/>
      <c r="W239" s="2"/>
      <c r="X239" s="3"/>
      <c r="Y239" s="2"/>
      <c r="Z239" s="2"/>
      <c r="AA239" s="2"/>
      <c r="AB239" s="2"/>
      <c r="AC239" s="2"/>
      <c r="AD239" s="2"/>
      <c r="AE239" s="2"/>
      <c r="AF239" s="2"/>
      <c r="AG239" s="2"/>
      <c r="AH239" s="2"/>
      <c r="AI239" s="2"/>
      <c r="AJ239" s="2"/>
      <c r="AK239" s="2"/>
      <c r="AL239" s="2"/>
    </row>
    <row r="240">
      <c r="A240" s="1"/>
      <c r="B240" s="2"/>
      <c r="C240" s="2"/>
      <c r="D240" s="2"/>
      <c r="E240" s="2"/>
      <c r="F240" s="2"/>
      <c r="G240" s="2"/>
      <c r="H240" s="2"/>
      <c r="I240" s="2"/>
      <c r="J240" s="2"/>
      <c r="K240" s="2"/>
      <c r="L240" s="2"/>
      <c r="M240" s="2"/>
      <c r="N240" s="2"/>
      <c r="O240" s="2"/>
      <c r="P240" s="2"/>
      <c r="Q240" s="2"/>
      <c r="R240" s="2"/>
      <c r="S240" s="2"/>
      <c r="T240" s="2"/>
      <c r="U240" s="2"/>
      <c r="V240" s="2"/>
      <c r="W240" s="2"/>
      <c r="X240" s="3"/>
      <c r="Y240" s="2"/>
      <c r="Z240" s="2"/>
      <c r="AA240" s="2"/>
      <c r="AB240" s="2"/>
      <c r="AC240" s="2"/>
      <c r="AD240" s="2"/>
      <c r="AE240" s="2"/>
      <c r="AF240" s="2"/>
      <c r="AG240" s="2"/>
      <c r="AH240" s="2"/>
      <c r="AI240" s="2"/>
      <c r="AJ240" s="2"/>
      <c r="AK240" s="2"/>
      <c r="AL240" s="2"/>
    </row>
    <row r="241">
      <c r="A241" s="1"/>
      <c r="B241" s="2"/>
      <c r="C241" s="2"/>
      <c r="D241" s="2"/>
      <c r="E241" s="2"/>
      <c r="F241" s="2"/>
      <c r="G241" s="2"/>
      <c r="H241" s="2"/>
      <c r="I241" s="2"/>
      <c r="J241" s="2"/>
      <c r="K241" s="2"/>
      <c r="L241" s="2"/>
      <c r="M241" s="2"/>
      <c r="N241" s="2"/>
      <c r="O241" s="2"/>
      <c r="P241" s="2"/>
      <c r="Q241" s="2"/>
      <c r="R241" s="2"/>
      <c r="S241" s="2"/>
      <c r="T241" s="2"/>
      <c r="U241" s="2"/>
      <c r="V241" s="2"/>
      <c r="W241" s="2"/>
      <c r="X241" s="3"/>
      <c r="Y241" s="2"/>
      <c r="Z241" s="2"/>
      <c r="AA241" s="2"/>
      <c r="AB241" s="2"/>
      <c r="AC241" s="2"/>
      <c r="AD241" s="2"/>
      <c r="AE241" s="2"/>
      <c r="AF241" s="2"/>
      <c r="AG241" s="2"/>
      <c r="AH241" s="2"/>
      <c r="AI241" s="2"/>
      <c r="AJ241" s="2"/>
      <c r="AK241" s="2"/>
      <c r="AL241" s="2"/>
    </row>
    <row r="242">
      <c r="A242" s="1"/>
      <c r="B242" s="2"/>
      <c r="C242" s="2"/>
      <c r="D242" s="2"/>
      <c r="E242" s="2"/>
      <c r="F242" s="2"/>
      <c r="G242" s="2"/>
      <c r="H242" s="2"/>
      <c r="I242" s="2"/>
      <c r="J242" s="2"/>
      <c r="K242" s="2"/>
      <c r="L242" s="2"/>
      <c r="M242" s="2"/>
      <c r="N242" s="2"/>
      <c r="O242" s="2"/>
      <c r="P242" s="2"/>
      <c r="Q242" s="2"/>
      <c r="R242" s="2"/>
      <c r="S242" s="2"/>
      <c r="T242" s="2"/>
      <c r="U242" s="2"/>
      <c r="V242" s="2"/>
      <c r="W242" s="2"/>
      <c r="X242" s="3"/>
      <c r="Y242" s="2"/>
      <c r="Z242" s="2"/>
      <c r="AA242" s="2"/>
      <c r="AB242" s="2"/>
      <c r="AC242" s="2"/>
      <c r="AD242" s="2"/>
      <c r="AE242" s="2"/>
      <c r="AF242" s="2"/>
      <c r="AG242" s="2"/>
      <c r="AH242" s="2"/>
      <c r="AI242" s="2"/>
      <c r="AJ242" s="2"/>
      <c r="AK242" s="2"/>
      <c r="AL242" s="2"/>
    </row>
    <row r="243">
      <c r="A243" s="1"/>
      <c r="B243" s="2"/>
      <c r="C243" s="2"/>
      <c r="D243" s="2"/>
      <c r="E243" s="2"/>
      <c r="F243" s="2"/>
      <c r="G243" s="2"/>
      <c r="H243" s="2"/>
      <c r="I243" s="2"/>
      <c r="J243" s="2"/>
      <c r="K243" s="2"/>
      <c r="L243" s="2"/>
      <c r="M243" s="2"/>
      <c r="N243" s="2"/>
      <c r="O243" s="2"/>
      <c r="P243" s="2"/>
      <c r="Q243" s="2"/>
      <c r="R243" s="2"/>
      <c r="S243" s="2"/>
      <c r="T243" s="2"/>
      <c r="U243" s="2"/>
      <c r="V243" s="2"/>
      <c r="W243" s="2"/>
      <c r="X243" s="3"/>
      <c r="Y243" s="2"/>
      <c r="Z243" s="2"/>
      <c r="AA243" s="2"/>
      <c r="AB243" s="2"/>
      <c r="AC243" s="2"/>
      <c r="AD243" s="2"/>
      <c r="AE243" s="2"/>
      <c r="AF243" s="2"/>
      <c r="AG243" s="2"/>
      <c r="AH243" s="2"/>
      <c r="AI243" s="2"/>
      <c r="AJ243" s="2"/>
      <c r="AK243" s="2"/>
      <c r="AL243" s="2"/>
    </row>
    <row r="244">
      <c r="A244" s="1"/>
      <c r="B244" s="2"/>
      <c r="C244" s="2"/>
      <c r="D244" s="2"/>
      <c r="E244" s="2"/>
      <c r="F244" s="2"/>
      <c r="G244" s="2"/>
      <c r="H244" s="2"/>
      <c r="I244" s="2"/>
      <c r="J244" s="2"/>
      <c r="K244" s="2"/>
      <c r="L244" s="2"/>
      <c r="M244" s="2"/>
      <c r="N244" s="2"/>
      <c r="O244" s="2"/>
      <c r="P244" s="2"/>
      <c r="Q244" s="2"/>
      <c r="R244" s="2"/>
      <c r="S244" s="2"/>
      <c r="T244" s="2"/>
      <c r="U244" s="2"/>
      <c r="V244" s="2"/>
      <c r="W244" s="2"/>
      <c r="X244" s="3"/>
      <c r="Y244" s="2"/>
      <c r="Z244" s="2"/>
      <c r="AA244" s="2"/>
      <c r="AB244" s="2"/>
      <c r="AC244" s="2"/>
      <c r="AD244" s="2"/>
      <c r="AE244" s="2"/>
      <c r="AF244" s="2"/>
      <c r="AG244" s="2"/>
      <c r="AH244" s="2"/>
      <c r="AI244" s="2"/>
      <c r="AJ244" s="2"/>
      <c r="AK244" s="2"/>
      <c r="AL244" s="2"/>
    </row>
    <row r="245">
      <c r="A245" s="1"/>
      <c r="B245" s="2"/>
      <c r="C245" s="2"/>
      <c r="D245" s="2"/>
      <c r="E245" s="2"/>
      <c r="F245" s="2"/>
      <c r="G245" s="2"/>
      <c r="H245" s="2"/>
      <c r="I245" s="2"/>
      <c r="J245" s="2"/>
      <c r="K245" s="2"/>
      <c r="L245" s="2"/>
      <c r="M245" s="2"/>
      <c r="N245" s="2"/>
      <c r="O245" s="2"/>
      <c r="P245" s="2"/>
      <c r="Q245" s="2"/>
      <c r="R245" s="2"/>
      <c r="S245" s="2"/>
      <c r="T245" s="2"/>
      <c r="U245" s="2"/>
      <c r="V245" s="2"/>
      <c r="W245" s="2"/>
      <c r="X245" s="3"/>
      <c r="Y245" s="2"/>
      <c r="Z245" s="2"/>
      <c r="AA245" s="2"/>
      <c r="AB245" s="2"/>
      <c r="AC245" s="2"/>
      <c r="AD245" s="2"/>
      <c r="AE245" s="2"/>
      <c r="AF245" s="2"/>
      <c r="AG245" s="2"/>
      <c r="AH245" s="2"/>
      <c r="AI245" s="2"/>
      <c r="AJ245" s="2"/>
      <c r="AK245" s="2"/>
      <c r="AL245" s="2"/>
    </row>
    <row r="246">
      <c r="A246" s="1"/>
      <c r="B246" s="2"/>
      <c r="C246" s="2"/>
      <c r="D246" s="2"/>
      <c r="E246" s="2"/>
      <c r="F246" s="2"/>
      <c r="G246" s="2"/>
      <c r="H246" s="2"/>
      <c r="I246" s="2"/>
      <c r="J246" s="2"/>
      <c r="K246" s="2"/>
      <c r="L246" s="2"/>
      <c r="M246" s="2"/>
      <c r="N246" s="2"/>
      <c r="O246" s="2"/>
      <c r="P246" s="2"/>
      <c r="Q246" s="2"/>
      <c r="R246" s="2"/>
      <c r="S246" s="2"/>
      <c r="T246" s="2"/>
      <c r="U246" s="2"/>
      <c r="V246" s="2"/>
      <c r="W246" s="2"/>
      <c r="X246" s="3"/>
      <c r="Y246" s="2"/>
      <c r="Z246" s="2"/>
      <c r="AA246" s="2"/>
      <c r="AB246" s="2"/>
      <c r="AC246" s="2"/>
      <c r="AD246" s="2"/>
      <c r="AE246" s="2"/>
      <c r="AF246" s="2"/>
      <c r="AG246" s="2"/>
      <c r="AH246" s="2"/>
      <c r="AI246" s="2"/>
      <c r="AJ246" s="2"/>
      <c r="AK246" s="2"/>
      <c r="AL246" s="2"/>
    </row>
    <row r="247">
      <c r="A247" s="1"/>
      <c r="B247" s="2"/>
      <c r="C247" s="2"/>
      <c r="D247" s="2"/>
      <c r="E247" s="2"/>
      <c r="F247" s="2"/>
      <c r="G247" s="2"/>
      <c r="H247" s="2"/>
      <c r="I247" s="2"/>
      <c r="J247" s="2"/>
      <c r="K247" s="2"/>
      <c r="L247" s="2"/>
      <c r="M247" s="2"/>
      <c r="N247" s="2"/>
      <c r="O247" s="2"/>
      <c r="P247" s="2"/>
      <c r="Q247" s="2"/>
      <c r="R247" s="2"/>
      <c r="S247" s="2"/>
      <c r="T247" s="2"/>
      <c r="U247" s="2"/>
      <c r="V247" s="2"/>
      <c r="W247" s="2"/>
      <c r="X247" s="3"/>
      <c r="Y247" s="2"/>
      <c r="Z247" s="2"/>
      <c r="AA247" s="2"/>
      <c r="AB247" s="2"/>
      <c r="AC247" s="2"/>
      <c r="AD247" s="2"/>
      <c r="AE247" s="2"/>
      <c r="AF247" s="2"/>
      <c r="AG247" s="2"/>
      <c r="AH247" s="2"/>
      <c r="AI247" s="2"/>
      <c r="AJ247" s="2"/>
      <c r="AK247" s="2"/>
      <c r="AL247" s="2"/>
    </row>
    <row r="248">
      <c r="A248" s="1"/>
      <c r="B248" s="2"/>
      <c r="C248" s="2"/>
      <c r="D248" s="2"/>
      <c r="E248" s="2"/>
      <c r="F248" s="2"/>
      <c r="G248" s="2"/>
      <c r="H248" s="2"/>
      <c r="I248" s="2"/>
      <c r="J248" s="2"/>
      <c r="K248" s="2"/>
      <c r="L248" s="2"/>
      <c r="M248" s="2"/>
      <c r="N248" s="2"/>
      <c r="O248" s="2"/>
      <c r="P248" s="2"/>
      <c r="Q248" s="2"/>
      <c r="R248" s="2"/>
      <c r="S248" s="2"/>
      <c r="T248" s="2"/>
      <c r="U248" s="2"/>
      <c r="V248" s="2"/>
      <c r="W248" s="2"/>
      <c r="X248" s="3"/>
      <c r="Y248" s="2"/>
      <c r="Z248" s="2"/>
      <c r="AA248" s="2"/>
      <c r="AB248" s="2"/>
      <c r="AC248" s="2"/>
      <c r="AD248" s="2"/>
      <c r="AE248" s="2"/>
      <c r="AF248" s="2"/>
      <c r="AG248" s="2"/>
      <c r="AH248" s="2"/>
      <c r="AI248" s="2"/>
      <c r="AJ248" s="2"/>
      <c r="AK248" s="2"/>
      <c r="AL248" s="2"/>
    </row>
    <row r="249">
      <c r="A249" s="1"/>
      <c r="B249" s="2"/>
      <c r="C249" s="2"/>
      <c r="D249" s="2"/>
      <c r="E249" s="2"/>
      <c r="F249" s="2"/>
      <c r="G249" s="2"/>
      <c r="H249" s="2"/>
      <c r="I249" s="2"/>
      <c r="J249" s="2"/>
      <c r="K249" s="2"/>
      <c r="L249" s="2"/>
      <c r="M249" s="2"/>
      <c r="N249" s="2"/>
      <c r="O249" s="2"/>
      <c r="P249" s="2"/>
      <c r="Q249" s="2"/>
      <c r="R249" s="2"/>
      <c r="S249" s="2"/>
      <c r="T249" s="2"/>
      <c r="U249" s="2"/>
      <c r="V249" s="2"/>
      <c r="W249" s="2"/>
      <c r="X249" s="3"/>
      <c r="Y249" s="2"/>
      <c r="Z249" s="2"/>
      <c r="AA249" s="2"/>
      <c r="AB249" s="2"/>
      <c r="AC249" s="2"/>
      <c r="AD249" s="2"/>
      <c r="AE249" s="2"/>
      <c r="AF249" s="2"/>
      <c r="AG249" s="2"/>
      <c r="AH249" s="2"/>
      <c r="AI249" s="2"/>
      <c r="AJ249" s="2"/>
      <c r="AK249" s="2"/>
      <c r="AL249" s="2"/>
    </row>
    <row r="250">
      <c r="A250" s="1"/>
      <c r="B250" s="2"/>
      <c r="C250" s="2"/>
      <c r="D250" s="2"/>
      <c r="E250" s="2"/>
      <c r="F250" s="2"/>
      <c r="G250" s="2"/>
      <c r="H250" s="2"/>
      <c r="I250" s="2"/>
      <c r="J250" s="2"/>
      <c r="K250" s="2"/>
      <c r="L250" s="2"/>
      <c r="M250" s="2"/>
      <c r="N250" s="2"/>
      <c r="O250" s="2"/>
      <c r="P250" s="2"/>
      <c r="Q250" s="2"/>
      <c r="R250" s="2"/>
      <c r="S250" s="2"/>
      <c r="T250" s="2"/>
      <c r="U250" s="2"/>
      <c r="V250" s="2"/>
      <c r="W250" s="2"/>
      <c r="X250" s="3"/>
      <c r="Y250" s="2"/>
      <c r="Z250" s="2"/>
      <c r="AA250" s="2"/>
      <c r="AB250" s="2"/>
      <c r="AC250" s="2"/>
      <c r="AD250" s="2"/>
      <c r="AE250" s="2"/>
      <c r="AF250" s="2"/>
      <c r="AG250" s="2"/>
      <c r="AH250" s="2"/>
      <c r="AI250" s="2"/>
      <c r="AJ250" s="2"/>
      <c r="AK250" s="2"/>
      <c r="AL250" s="2"/>
    </row>
    <row r="251">
      <c r="A251" s="1"/>
      <c r="B251" s="2"/>
      <c r="C251" s="2"/>
      <c r="D251" s="2"/>
      <c r="E251" s="2"/>
      <c r="F251" s="2"/>
      <c r="G251" s="2"/>
      <c r="H251" s="2"/>
      <c r="I251" s="2"/>
      <c r="J251" s="2"/>
      <c r="K251" s="2"/>
      <c r="L251" s="2"/>
      <c r="M251" s="2"/>
      <c r="N251" s="2"/>
      <c r="O251" s="2"/>
      <c r="P251" s="2"/>
      <c r="Q251" s="2"/>
      <c r="R251" s="2"/>
      <c r="S251" s="2"/>
      <c r="T251" s="2"/>
      <c r="U251" s="2"/>
      <c r="V251" s="2"/>
      <c r="W251" s="2"/>
      <c r="X251" s="3"/>
      <c r="Y251" s="2"/>
      <c r="Z251" s="2"/>
      <c r="AA251" s="2"/>
      <c r="AB251" s="2"/>
      <c r="AC251" s="2"/>
      <c r="AD251" s="2"/>
      <c r="AE251" s="2"/>
      <c r="AF251" s="2"/>
      <c r="AG251" s="2"/>
      <c r="AH251" s="2"/>
      <c r="AI251" s="2"/>
      <c r="AJ251" s="2"/>
      <c r="AK251" s="2"/>
      <c r="AL251" s="2"/>
    </row>
    <row r="252">
      <c r="A252" s="1"/>
      <c r="B252" s="2"/>
      <c r="C252" s="2"/>
      <c r="D252" s="2"/>
      <c r="E252" s="2"/>
      <c r="F252" s="2"/>
      <c r="G252" s="2"/>
      <c r="H252" s="2"/>
      <c r="I252" s="2"/>
      <c r="J252" s="2"/>
      <c r="K252" s="2"/>
      <c r="L252" s="2"/>
      <c r="M252" s="2"/>
      <c r="N252" s="2"/>
      <c r="O252" s="2"/>
      <c r="P252" s="2"/>
      <c r="Q252" s="2"/>
      <c r="R252" s="2"/>
      <c r="S252" s="2"/>
      <c r="T252" s="2"/>
      <c r="U252" s="2"/>
      <c r="V252" s="2"/>
      <c r="W252" s="2"/>
      <c r="X252" s="3"/>
      <c r="Y252" s="2"/>
      <c r="Z252" s="2"/>
      <c r="AA252" s="2"/>
      <c r="AB252" s="2"/>
      <c r="AC252" s="2"/>
      <c r="AD252" s="2"/>
      <c r="AE252" s="2"/>
      <c r="AF252" s="2"/>
      <c r="AG252" s="2"/>
      <c r="AH252" s="2"/>
      <c r="AI252" s="2"/>
      <c r="AJ252" s="2"/>
      <c r="AK252" s="2"/>
      <c r="AL252" s="2"/>
    </row>
    <row r="253">
      <c r="A253" s="1"/>
      <c r="B253" s="2"/>
      <c r="C253" s="2"/>
      <c r="D253" s="2"/>
      <c r="E253" s="2"/>
      <c r="F253" s="2"/>
      <c r="G253" s="2"/>
      <c r="H253" s="2"/>
      <c r="I253" s="2"/>
      <c r="J253" s="2"/>
      <c r="K253" s="2"/>
      <c r="L253" s="2"/>
      <c r="M253" s="2"/>
      <c r="N253" s="2"/>
      <c r="O253" s="2"/>
      <c r="P253" s="2"/>
      <c r="Q253" s="2"/>
      <c r="R253" s="2"/>
      <c r="S253" s="2"/>
      <c r="T253" s="2"/>
      <c r="U253" s="2"/>
      <c r="V253" s="2"/>
      <c r="W253" s="2"/>
      <c r="X253" s="3"/>
      <c r="Y253" s="2"/>
      <c r="Z253" s="2"/>
      <c r="AA253" s="2"/>
      <c r="AB253" s="2"/>
      <c r="AC253" s="2"/>
      <c r="AD253" s="2"/>
      <c r="AE253" s="2"/>
      <c r="AF253" s="2"/>
      <c r="AG253" s="2"/>
      <c r="AH253" s="2"/>
      <c r="AI253" s="2"/>
      <c r="AJ253" s="2"/>
      <c r="AK253" s="2"/>
      <c r="AL253" s="2"/>
    </row>
    <row r="254">
      <c r="A254" s="1"/>
      <c r="B254" s="2"/>
      <c r="C254" s="2"/>
      <c r="D254" s="2"/>
      <c r="E254" s="2"/>
      <c r="F254" s="2"/>
      <c r="G254" s="2"/>
      <c r="H254" s="2"/>
      <c r="I254" s="2"/>
      <c r="J254" s="2"/>
      <c r="K254" s="2"/>
      <c r="L254" s="2"/>
      <c r="M254" s="2"/>
      <c r="N254" s="2"/>
      <c r="O254" s="2"/>
      <c r="P254" s="2"/>
      <c r="Q254" s="2"/>
      <c r="R254" s="2"/>
      <c r="S254" s="2"/>
      <c r="T254" s="2"/>
      <c r="U254" s="2"/>
      <c r="V254" s="2"/>
      <c r="W254" s="2"/>
      <c r="X254" s="3"/>
      <c r="Y254" s="2"/>
      <c r="Z254" s="2"/>
      <c r="AA254" s="2"/>
      <c r="AB254" s="2"/>
      <c r="AC254" s="2"/>
      <c r="AD254" s="2"/>
      <c r="AE254" s="2"/>
      <c r="AF254" s="2"/>
      <c r="AG254" s="2"/>
      <c r="AH254" s="2"/>
      <c r="AI254" s="2"/>
      <c r="AJ254" s="2"/>
      <c r="AK254" s="2"/>
      <c r="AL254" s="2"/>
    </row>
    <row r="255">
      <c r="A255" s="1"/>
      <c r="B255" s="2"/>
      <c r="C255" s="2"/>
      <c r="D255" s="2"/>
      <c r="E255" s="2"/>
      <c r="F255" s="2"/>
      <c r="G255" s="2"/>
      <c r="H255" s="2"/>
      <c r="I255" s="2"/>
      <c r="J255" s="2"/>
      <c r="K255" s="2"/>
      <c r="L255" s="2"/>
      <c r="M255" s="2"/>
      <c r="N255" s="2"/>
      <c r="O255" s="2"/>
      <c r="P255" s="2"/>
      <c r="Q255" s="2"/>
      <c r="R255" s="2"/>
      <c r="S255" s="2"/>
      <c r="T255" s="2"/>
      <c r="U255" s="2"/>
      <c r="V255" s="2"/>
      <c r="W255" s="2"/>
      <c r="X255" s="3"/>
      <c r="Y255" s="2"/>
      <c r="Z255" s="2"/>
      <c r="AA255" s="2"/>
      <c r="AB255" s="2"/>
      <c r="AC255" s="2"/>
      <c r="AD255" s="2"/>
      <c r="AE255" s="2"/>
      <c r="AF255" s="2"/>
      <c r="AG255" s="2"/>
      <c r="AH255" s="2"/>
      <c r="AI255" s="2"/>
      <c r="AJ255" s="2"/>
      <c r="AK255" s="2"/>
      <c r="AL255" s="2"/>
    </row>
    <row r="256">
      <c r="A256" s="1"/>
      <c r="B256" s="2"/>
      <c r="C256" s="2"/>
      <c r="D256" s="2"/>
      <c r="E256" s="2"/>
      <c r="F256" s="2"/>
      <c r="G256" s="2"/>
      <c r="H256" s="2"/>
      <c r="I256" s="2"/>
      <c r="J256" s="2"/>
      <c r="K256" s="2"/>
      <c r="L256" s="2"/>
      <c r="M256" s="2"/>
      <c r="N256" s="2"/>
      <c r="O256" s="2"/>
      <c r="P256" s="2"/>
      <c r="Q256" s="2"/>
      <c r="R256" s="2"/>
      <c r="S256" s="2"/>
      <c r="T256" s="2"/>
      <c r="U256" s="2"/>
      <c r="V256" s="2"/>
      <c r="W256" s="2"/>
      <c r="X256" s="3"/>
      <c r="Y256" s="2"/>
      <c r="Z256" s="2"/>
      <c r="AA256" s="2"/>
      <c r="AB256" s="2"/>
      <c r="AC256" s="2"/>
      <c r="AD256" s="2"/>
      <c r="AE256" s="2"/>
      <c r="AF256" s="2"/>
      <c r="AG256" s="2"/>
      <c r="AH256" s="2"/>
      <c r="AI256" s="2"/>
      <c r="AJ256" s="2"/>
      <c r="AK256" s="2"/>
      <c r="AL256" s="2"/>
    </row>
    <row r="257">
      <c r="A257" s="1"/>
      <c r="B257" s="2"/>
      <c r="C257" s="2"/>
      <c r="D257" s="2"/>
      <c r="E257" s="2"/>
      <c r="F257" s="2"/>
      <c r="G257" s="2"/>
      <c r="H257" s="2"/>
      <c r="I257" s="2"/>
      <c r="J257" s="2"/>
      <c r="K257" s="2"/>
      <c r="L257" s="2"/>
      <c r="M257" s="2"/>
      <c r="N257" s="2"/>
      <c r="O257" s="2"/>
      <c r="P257" s="2"/>
      <c r="Q257" s="2"/>
      <c r="R257" s="2"/>
      <c r="S257" s="2"/>
      <c r="T257" s="2"/>
      <c r="U257" s="2"/>
      <c r="V257" s="2"/>
      <c r="W257" s="2"/>
      <c r="X257" s="3"/>
      <c r="Y257" s="2"/>
      <c r="Z257" s="2"/>
      <c r="AA257" s="2"/>
      <c r="AB257" s="2"/>
      <c r="AC257" s="2"/>
      <c r="AD257" s="2"/>
      <c r="AE257" s="2"/>
      <c r="AF257" s="2"/>
      <c r="AG257" s="2"/>
      <c r="AH257" s="2"/>
      <c r="AI257" s="2"/>
      <c r="AJ257" s="2"/>
      <c r="AK257" s="2"/>
      <c r="AL257" s="2"/>
    </row>
    <row r="258">
      <c r="A258" s="1"/>
      <c r="B258" s="2"/>
      <c r="C258" s="2"/>
      <c r="D258" s="2"/>
      <c r="E258" s="2"/>
      <c r="F258" s="2"/>
      <c r="G258" s="2"/>
      <c r="H258" s="2"/>
      <c r="I258" s="2"/>
      <c r="J258" s="2"/>
      <c r="K258" s="2"/>
      <c r="L258" s="2"/>
      <c r="M258" s="2"/>
      <c r="N258" s="2"/>
      <c r="O258" s="2"/>
      <c r="P258" s="2"/>
      <c r="Q258" s="2"/>
      <c r="R258" s="2"/>
      <c r="S258" s="2"/>
      <c r="T258" s="2"/>
      <c r="U258" s="2"/>
      <c r="V258" s="2"/>
      <c r="W258" s="2"/>
      <c r="X258" s="3"/>
      <c r="Y258" s="2"/>
      <c r="Z258" s="2"/>
      <c r="AA258" s="2"/>
      <c r="AB258" s="2"/>
      <c r="AC258" s="2"/>
      <c r="AD258" s="2"/>
      <c r="AE258" s="2"/>
      <c r="AF258" s="2"/>
      <c r="AG258" s="2"/>
      <c r="AH258" s="2"/>
      <c r="AI258" s="2"/>
      <c r="AJ258" s="2"/>
      <c r="AK258" s="2"/>
      <c r="AL258" s="2"/>
    </row>
    <row r="259">
      <c r="A259" s="1"/>
      <c r="B259" s="2"/>
      <c r="C259" s="2"/>
      <c r="D259" s="2"/>
      <c r="E259" s="2"/>
      <c r="F259" s="2"/>
      <c r="G259" s="2"/>
      <c r="H259" s="2"/>
      <c r="I259" s="2"/>
      <c r="J259" s="2"/>
      <c r="K259" s="2"/>
      <c r="L259" s="2"/>
      <c r="M259" s="2"/>
      <c r="N259" s="2"/>
      <c r="O259" s="2"/>
      <c r="P259" s="2"/>
      <c r="Q259" s="2"/>
      <c r="R259" s="2"/>
      <c r="S259" s="2"/>
      <c r="T259" s="2"/>
      <c r="U259" s="2"/>
      <c r="V259" s="2"/>
      <c r="W259" s="2"/>
      <c r="X259" s="3"/>
      <c r="Y259" s="2"/>
      <c r="Z259" s="2"/>
      <c r="AA259" s="2"/>
      <c r="AB259" s="2"/>
      <c r="AC259" s="2"/>
      <c r="AD259" s="2"/>
      <c r="AE259" s="2"/>
      <c r="AF259" s="2"/>
      <c r="AG259" s="2"/>
      <c r="AH259" s="2"/>
      <c r="AI259" s="2"/>
      <c r="AJ259" s="2"/>
      <c r="AK259" s="2"/>
      <c r="AL259" s="2"/>
    </row>
    <row r="260">
      <c r="A260" s="1"/>
      <c r="B260" s="2"/>
      <c r="C260" s="2"/>
      <c r="D260" s="2"/>
      <c r="E260" s="2"/>
      <c r="F260" s="2"/>
      <c r="G260" s="2"/>
      <c r="H260" s="2"/>
      <c r="I260" s="2"/>
      <c r="J260" s="2"/>
      <c r="K260" s="2"/>
      <c r="L260" s="2"/>
      <c r="M260" s="2"/>
      <c r="N260" s="2"/>
      <c r="O260" s="2"/>
      <c r="P260" s="2"/>
      <c r="Q260" s="2"/>
      <c r="R260" s="2"/>
      <c r="S260" s="2"/>
      <c r="T260" s="2"/>
      <c r="U260" s="2"/>
      <c r="V260" s="2"/>
      <c r="W260" s="2"/>
      <c r="X260" s="3"/>
      <c r="Y260" s="2"/>
      <c r="Z260" s="2"/>
      <c r="AA260" s="2"/>
      <c r="AB260" s="2"/>
      <c r="AC260" s="2"/>
      <c r="AD260" s="2"/>
      <c r="AE260" s="2"/>
      <c r="AF260" s="2"/>
      <c r="AG260" s="2"/>
      <c r="AH260" s="2"/>
      <c r="AI260" s="2"/>
      <c r="AJ260" s="2"/>
      <c r="AK260" s="2"/>
      <c r="AL260" s="2"/>
    </row>
    <row r="261">
      <c r="A261" s="1"/>
      <c r="B261" s="2"/>
      <c r="C261" s="2"/>
      <c r="D261" s="2"/>
      <c r="E261" s="2"/>
      <c r="F261" s="2"/>
      <c r="G261" s="2"/>
      <c r="H261" s="2"/>
      <c r="I261" s="2"/>
      <c r="J261" s="2"/>
      <c r="K261" s="2"/>
      <c r="L261" s="2"/>
      <c r="M261" s="2"/>
      <c r="N261" s="2"/>
      <c r="O261" s="2"/>
      <c r="P261" s="2"/>
      <c r="Q261" s="2"/>
      <c r="R261" s="2"/>
      <c r="S261" s="2"/>
      <c r="T261" s="2"/>
      <c r="U261" s="2"/>
      <c r="V261" s="2"/>
      <c r="W261" s="2"/>
      <c r="X261" s="3"/>
      <c r="Y261" s="2"/>
      <c r="Z261" s="2"/>
      <c r="AA261" s="2"/>
      <c r="AB261" s="2"/>
      <c r="AC261" s="2"/>
      <c r="AD261" s="2"/>
      <c r="AE261" s="2"/>
      <c r="AF261" s="2"/>
      <c r="AG261" s="2"/>
      <c r="AH261" s="2"/>
      <c r="AI261" s="2"/>
      <c r="AJ261" s="2"/>
      <c r="AK261" s="2"/>
      <c r="AL261" s="2"/>
    </row>
    <row r="262">
      <c r="A262" s="1"/>
      <c r="B262" s="2"/>
      <c r="C262" s="2"/>
      <c r="D262" s="2"/>
      <c r="E262" s="2"/>
      <c r="F262" s="2"/>
      <c r="G262" s="2"/>
      <c r="H262" s="2"/>
      <c r="I262" s="2"/>
      <c r="J262" s="2"/>
      <c r="K262" s="2"/>
      <c r="L262" s="2"/>
      <c r="M262" s="2"/>
      <c r="N262" s="2"/>
      <c r="O262" s="2"/>
      <c r="P262" s="2"/>
      <c r="Q262" s="2"/>
      <c r="R262" s="2"/>
      <c r="S262" s="2"/>
      <c r="T262" s="2"/>
      <c r="U262" s="2"/>
      <c r="V262" s="2"/>
      <c r="W262" s="2"/>
      <c r="X262" s="3"/>
      <c r="Y262" s="2"/>
      <c r="Z262" s="2"/>
      <c r="AA262" s="2"/>
      <c r="AB262" s="2"/>
      <c r="AC262" s="2"/>
      <c r="AD262" s="2"/>
      <c r="AE262" s="2"/>
      <c r="AF262" s="2"/>
      <c r="AG262" s="2"/>
      <c r="AH262" s="2"/>
      <c r="AI262" s="2"/>
      <c r="AJ262" s="2"/>
      <c r="AK262" s="2"/>
      <c r="AL262" s="2"/>
    </row>
    <row r="263">
      <c r="A263" s="1"/>
      <c r="B263" s="2"/>
      <c r="C263" s="2"/>
      <c r="D263" s="2"/>
      <c r="E263" s="2"/>
      <c r="F263" s="2"/>
      <c r="G263" s="2"/>
      <c r="H263" s="2"/>
      <c r="I263" s="2"/>
      <c r="J263" s="2"/>
      <c r="K263" s="2"/>
      <c r="L263" s="2"/>
      <c r="M263" s="2"/>
      <c r="N263" s="2"/>
      <c r="O263" s="2"/>
      <c r="P263" s="2"/>
      <c r="Q263" s="2"/>
      <c r="R263" s="2"/>
      <c r="S263" s="2"/>
      <c r="T263" s="2"/>
      <c r="U263" s="2"/>
      <c r="V263" s="2"/>
      <c r="W263" s="2"/>
      <c r="X263" s="3"/>
      <c r="Y263" s="2"/>
      <c r="Z263" s="2"/>
      <c r="AA263" s="2"/>
      <c r="AB263" s="2"/>
      <c r="AC263" s="2"/>
      <c r="AD263" s="2"/>
      <c r="AE263" s="2"/>
      <c r="AF263" s="2"/>
      <c r="AG263" s="2"/>
      <c r="AH263" s="2"/>
      <c r="AI263" s="2"/>
      <c r="AJ263" s="2"/>
      <c r="AK263" s="2"/>
      <c r="AL263" s="2"/>
    </row>
    <row r="264">
      <c r="A264" s="1"/>
      <c r="B264" s="2"/>
      <c r="C264" s="2"/>
      <c r="D264" s="2"/>
      <c r="E264" s="2"/>
      <c r="F264" s="2"/>
      <c r="G264" s="2"/>
      <c r="H264" s="2"/>
      <c r="I264" s="2"/>
      <c r="J264" s="2"/>
      <c r="K264" s="2"/>
      <c r="L264" s="2"/>
      <c r="M264" s="2"/>
      <c r="N264" s="2"/>
      <c r="O264" s="2"/>
      <c r="P264" s="2"/>
      <c r="Q264" s="2"/>
      <c r="R264" s="2"/>
      <c r="S264" s="2"/>
      <c r="T264" s="2"/>
      <c r="U264" s="2"/>
      <c r="V264" s="2"/>
      <c r="W264" s="2"/>
      <c r="X264" s="3"/>
      <c r="Y264" s="2"/>
      <c r="Z264" s="2"/>
      <c r="AA264" s="2"/>
      <c r="AB264" s="2"/>
      <c r="AC264" s="2"/>
      <c r="AD264" s="2"/>
      <c r="AE264" s="2"/>
      <c r="AF264" s="2"/>
      <c r="AG264" s="2"/>
      <c r="AH264" s="2"/>
      <c r="AI264" s="2"/>
      <c r="AJ264" s="2"/>
      <c r="AK264" s="2"/>
      <c r="AL264" s="2"/>
    </row>
    <row r="265">
      <c r="A265" s="1"/>
      <c r="B265" s="2"/>
      <c r="C265" s="2"/>
      <c r="D265" s="2"/>
      <c r="E265" s="2"/>
      <c r="F265" s="2"/>
      <c r="G265" s="2"/>
      <c r="H265" s="2"/>
      <c r="I265" s="2"/>
      <c r="J265" s="2"/>
      <c r="K265" s="2"/>
      <c r="L265" s="2"/>
      <c r="M265" s="2"/>
      <c r="N265" s="2"/>
      <c r="O265" s="2"/>
      <c r="P265" s="2"/>
      <c r="Q265" s="2"/>
      <c r="R265" s="2"/>
      <c r="S265" s="2"/>
      <c r="T265" s="2"/>
      <c r="U265" s="2"/>
      <c r="V265" s="2"/>
      <c r="W265" s="2"/>
      <c r="X265" s="3"/>
      <c r="Y265" s="2"/>
      <c r="Z265" s="2"/>
      <c r="AA265" s="2"/>
      <c r="AB265" s="2"/>
      <c r="AC265" s="2"/>
      <c r="AD265" s="2"/>
      <c r="AE265" s="2"/>
      <c r="AF265" s="2"/>
      <c r="AG265" s="2"/>
      <c r="AH265" s="2"/>
      <c r="AI265" s="2"/>
      <c r="AJ265" s="2"/>
      <c r="AK265" s="2"/>
      <c r="AL265" s="2"/>
    </row>
    <row r="266">
      <c r="A266" s="1"/>
      <c r="B266" s="2"/>
      <c r="C266" s="2"/>
      <c r="D266" s="2"/>
      <c r="E266" s="2"/>
      <c r="F266" s="2"/>
      <c r="G266" s="2"/>
      <c r="H266" s="2"/>
      <c r="I266" s="2"/>
      <c r="J266" s="2"/>
      <c r="K266" s="2"/>
      <c r="L266" s="2"/>
      <c r="M266" s="2"/>
      <c r="N266" s="2"/>
      <c r="O266" s="2"/>
      <c r="P266" s="2"/>
      <c r="Q266" s="2"/>
      <c r="R266" s="2"/>
      <c r="S266" s="2"/>
      <c r="T266" s="2"/>
      <c r="U266" s="2"/>
      <c r="V266" s="2"/>
      <c r="W266" s="2"/>
      <c r="X266" s="3"/>
      <c r="Y266" s="2"/>
      <c r="Z266" s="2"/>
      <c r="AA266" s="2"/>
      <c r="AB266" s="2"/>
      <c r="AC266" s="2"/>
      <c r="AD266" s="2"/>
      <c r="AE266" s="2"/>
      <c r="AF266" s="2"/>
      <c r="AG266" s="2"/>
      <c r="AH266" s="2"/>
      <c r="AI266" s="2"/>
      <c r="AJ266" s="2"/>
      <c r="AK266" s="2"/>
      <c r="AL266" s="2"/>
    </row>
    <row r="267">
      <c r="A267" s="1"/>
      <c r="B267" s="2"/>
      <c r="C267" s="2"/>
      <c r="D267" s="2"/>
      <c r="E267" s="2"/>
      <c r="F267" s="2"/>
      <c r="G267" s="2"/>
      <c r="H267" s="2"/>
      <c r="I267" s="2"/>
      <c r="J267" s="2"/>
      <c r="K267" s="2"/>
      <c r="L267" s="2"/>
      <c r="M267" s="2"/>
      <c r="N267" s="2"/>
      <c r="O267" s="2"/>
      <c r="P267" s="2"/>
      <c r="Q267" s="2"/>
      <c r="R267" s="2"/>
      <c r="S267" s="2"/>
      <c r="T267" s="2"/>
      <c r="U267" s="2"/>
      <c r="V267" s="2"/>
      <c r="W267" s="2"/>
      <c r="X267" s="3"/>
      <c r="Y267" s="2"/>
      <c r="Z267" s="2"/>
      <c r="AA267" s="2"/>
      <c r="AB267" s="2"/>
      <c r="AC267" s="2"/>
      <c r="AD267" s="2"/>
      <c r="AE267" s="2"/>
      <c r="AF267" s="2"/>
      <c r="AG267" s="2"/>
      <c r="AH267" s="2"/>
      <c r="AI267" s="2"/>
      <c r="AJ267" s="2"/>
      <c r="AK267" s="2"/>
      <c r="AL267" s="2"/>
    </row>
    <row r="268">
      <c r="A268" s="1"/>
      <c r="B268" s="2"/>
      <c r="C268" s="2"/>
      <c r="D268" s="2"/>
      <c r="E268" s="2"/>
      <c r="F268" s="2"/>
      <c r="G268" s="2"/>
      <c r="H268" s="2"/>
      <c r="I268" s="2"/>
      <c r="J268" s="2"/>
      <c r="K268" s="2"/>
      <c r="L268" s="2"/>
      <c r="M268" s="2"/>
      <c r="N268" s="2"/>
      <c r="O268" s="2"/>
      <c r="P268" s="2"/>
      <c r="Q268" s="2"/>
      <c r="R268" s="2"/>
      <c r="S268" s="2"/>
      <c r="T268" s="2"/>
      <c r="U268" s="2"/>
      <c r="V268" s="2"/>
      <c r="W268" s="2"/>
      <c r="X268" s="3"/>
      <c r="Y268" s="2"/>
      <c r="Z268" s="2"/>
      <c r="AA268" s="2"/>
      <c r="AB268" s="2"/>
      <c r="AC268" s="2"/>
      <c r="AD268" s="2"/>
      <c r="AE268" s="2"/>
      <c r="AF268" s="2"/>
      <c r="AG268" s="2"/>
      <c r="AH268" s="2"/>
      <c r="AI268" s="2"/>
      <c r="AJ268" s="2"/>
      <c r="AK268" s="2"/>
      <c r="AL268" s="2"/>
    </row>
    <row r="269">
      <c r="A269" s="1"/>
      <c r="B269" s="2"/>
      <c r="C269" s="2"/>
      <c r="D269" s="2"/>
      <c r="E269" s="2"/>
      <c r="F269" s="2"/>
      <c r="G269" s="2"/>
      <c r="H269" s="2"/>
      <c r="I269" s="2"/>
      <c r="J269" s="2"/>
      <c r="K269" s="2"/>
      <c r="L269" s="2"/>
      <c r="M269" s="2"/>
      <c r="N269" s="2"/>
      <c r="O269" s="2"/>
      <c r="P269" s="2"/>
      <c r="Q269" s="2"/>
      <c r="R269" s="2"/>
      <c r="S269" s="2"/>
      <c r="T269" s="2"/>
      <c r="U269" s="2"/>
      <c r="V269" s="2"/>
      <c r="W269" s="2"/>
      <c r="X269" s="3"/>
      <c r="Y269" s="2"/>
      <c r="Z269" s="2"/>
      <c r="AA269" s="2"/>
      <c r="AB269" s="2"/>
      <c r="AC269" s="2"/>
      <c r="AD269" s="2"/>
      <c r="AE269" s="2"/>
      <c r="AF269" s="2"/>
      <c r="AG269" s="2"/>
      <c r="AH269" s="2"/>
      <c r="AI269" s="2"/>
      <c r="AJ269" s="2"/>
      <c r="AK269" s="2"/>
      <c r="AL269" s="2"/>
    </row>
    <row r="270">
      <c r="A270" s="1"/>
      <c r="B270" s="2"/>
      <c r="C270" s="2"/>
      <c r="D270" s="2"/>
      <c r="E270" s="2"/>
      <c r="F270" s="2"/>
      <c r="G270" s="2"/>
      <c r="H270" s="2"/>
      <c r="I270" s="2"/>
      <c r="J270" s="2"/>
      <c r="K270" s="2"/>
      <c r="L270" s="2"/>
      <c r="M270" s="2"/>
      <c r="N270" s="2"/>
      <c r="O270" s="2"/>
      <c r="P270" s="2"/>
      <c r="Q270" s="2"/>
      <c r="R270" s="2"/>
      <c r="S270" s="2"/>
      <c r="T270" s="2"/>
      <c r="U270" s="2"/>
      <c r="V270" s="2"/>
      <c r="W270" s="2"/>
      <c r="X270" s="3"/>
      <c r="Y270" s="2"/>
      <c r="Z270" s="2"/>
      <c r="AA270" s="2"/>
      <c r="AB270" s="2"/>
      <c r="AC270" s="2"/>
      <c r="AD270" s="2"/>
      <c r="AE270" s="2"/>
      <c r="AF270" s="2"/>
      <c r="AG270" s="2"/>
      <c r="AH270" s="2"/>
      <c r="AI270" s="2"/>
      <c r="AJ270" s="2"/>
      <c r="AK270" s="2"/>
      <c r="AL270" s="2"/>
    </row>
    <row r="271">
      <c r="A271" s="1"/>
      <c r="B271" s="2"/>
      <c r="C271" s="2"/>
      <c r="D271" s="2"/>
      <c r="E271" s="2"/>
      <c r="F271" s="2"/>
      <c r="G271" s="2"/>
      <c r="H271" s="2"/>
      <c r="I271" s="2"/>
      <c r="J271" s="2"/>
      <c r="K271" s="2"/>
      <c r="L271" s="2"/>
      <c r="M271" s="2"/>
      <c r="N271" s="2"/>
      <c r="O271" s="2"/>
      <c r="P271" s="2"/>
      <c r="Q271" s="2"/>
      <c r="R271" s="2"/>
      <c r="S271" s="2"/>
      <c r="T271" s="2"/>
      <c r="U271" s="2"/>
      <c r="V271" s="2"/>
      <c r="W271" s="2"/>
      <c r="X271" s="3"/>
      <c r="Y271" s="2"/>
      <c r="Z271" s="2"/>
      <c r="AA271" s="2"/>
      <c r="AB271" s="2"/>
      <c r="AC271" s="2"/>
      <c r="AD271" s="2"/>
      <c r="AE271" s="2"/>
      <c r="AF271" s="2"/>
      <c r="AG271" s="2"/>
      <c r="AH271" s="2"/>
      <c r="AI271" s="2"/>
      <c r="AJ271" s="2"/>
      <c r="AK271" s="2"/>
      <c r="AL271" s="2"/>
    </row>
    <row r="272">
      <c r="A272" s="1"/>
      <c r="B272" s="2"/>
      <c r="C272" s="2"/>
      <c r="D272" s="2"/>
      <c r="E272" s="2"/>
      <c r="F272" s="2"/>
      <c r="G272" s="2"/>
      <c r="H272" s="2"/>
      <c r="I272" s="2"/>
      <c r="J272" s="2"/>
      <c r="K272" s="2"/>
      <c r="L272" s="2"/>
      <c r="M272" s="2"/>
      <c r="N272" s="2"/>
      <c r="O272" s="2"/>
      <c r="P272" s="2"/>
      <c r="Q272" s="2"/>
      <c r="R272" s="2"/>
      <c r="S272" s="2"/>
      <c r="T272" s="2"/>
      <c r="U272" s="2"/>
      <c r="V272" s="2"/>
      <c r="W272" s="2"/>
      <c r="X272" s="3"/>
      <c r="Y272" s="2"/>
      <c r="Z272" s="2"/>
      <c r="AA272" s="2"/>
      <c r="AB272" s="2"/>
      <c r="AC272" s="2"/>
      <c r="AD272" s="2"/>
      <c r="AE272" s="2"/>
      <c r="AF272" s="2"/>
      <c r="AG272" s="2"/>
      <c r="AH272" s="2"/>
      <c r="AI272" s="2"/>
      <c r="AJ272" s="2"/>
      <c r="AK272" s="2"/>
      <c r="AL272" s="2"/>
    </row>
    <row r="273">
      <c r="A273" s="1"/>
      <c r="B273" s="2"/>
      <c r="C273" s="2"/>
      <c r="D273" s="2"/>
      <c r="E273" s="2"/>
      <c r="F273" s="2"/>
      <c r="G273" s="2"/>
      <c r="H273" s="2"/>
      <c r="I273" s="2"/>
      <c r="J273" s="2"/>
      <c r="K273" s="2"/>
      <c r="L273" s="2"/>
      <c r="M273" s="2"/>
      <c r="N273" s="2"/>
      <c r="O273" s="2"/>
      <c r="P273" s="2"/>
      <c r="Q273" s="2"/>
      <c r="R273" s="2"/>
      <c r="S273" s="2"/>
      <c r="T273" s="2"/>
      <c r="U273" s="2"/>
      <c r="V273" s="2"/>
      <c r="W273" s="2"/>
      <c r="X273" s="3"/>
      <c r="Y273" s="2"/>
      <c r="Z273" s="2"/>
      <c r="AA273" s="2"/>
      <c r="AB273" s="2"/>
      <c r="AC273" s="2"/>
      <c r="AD273" s="2"/>
      <c r="AE273" s="2"/>
      <c r="AF273" s="2"/>
      <c r="AG273" s="2"/>
      <c r="AH273" s="2"/>
      <c r="AI273" s="2"/>
      <c r="AJ273" s="2"/>
      <c r="AK273" s="2"/>
      <c r="AL273" s="2"/>
    </row>
    <row r="274">
      <c r="A274" s="1"/>
      <c r="B274" s="2"/>
      <c r="C274" s="2"/>
      <c r="D274" s="2"/>
      <c r="E274" s="2"/>
      <c r="F274" s="2"/>
      <c r="G274" s="2"/>
      <c r="H274" s="2"/>
      <c r="I274" s="2"/>
      <c r="J274" s="2"/>
      <c r="K274" s="2"/>
      <c r="L274" s="2"/>
      <c r="M274" s="2"/>
      <c r="N274" s="2"/>
      <c r="O274" s="2"/>
      <c r="P274" s="2"/>
      <c r="Q274" s="2"/>
      <c r="R274" s="2"/>
      <c r="S274" s="2"/>
      <c r="T274" s="2"/>
      <c r="U274" s="2"/>
      <c r="V274" s="2"/>
      <c r="W274" s="2"/>
      <c r="X274" s="3"/>
      <c r="Y274" s="2"/>
      <c r="Z274" s="2"/>
      <c r="AA274" s="2"/>
      <c r="AB274" s="2"/>
      <c r="AC274" s="2"/>
      <c r="AD274" s="2"/>
      <c r="AE274" s="2"/>
      <c r="AF274" s="2"/>
      <c r="AG274" s="2"/>
      <c r="AH274" s="2"/>
      <c r="AI274" s="2"/>
      <c r="AJ274" s="2"/>
      <c r="AK274" s="2"/>
      <c r="AL274" s="2"/>
    </row>
    <row r="275">
      <c r="A275" s="1"/>
      <c r="B275" s="2"/>
      <c r="C275" s="2"/>
      <c r="D275" s="2"/>
      <c r="E275" s="2"/>
      <c r="F275" s="2"/>
      <c r="G275" s="2"/>
      <c r="H275" s="2"/>
      <c r="I275" s="2"/>
      <c r="J275" s="2"/>
      <c r="K275" s="2"/>
      <c r="L275" s="2"/>
      <c r="M275" s="2"/>
      <c r="N275" s="2"/>
      <c r="O275" s="2"/>
      <c r="P275" s="2"/>
      <c r="Q275" s="2"/>
      <c r="R275" s="2"/>
      <c r="S275" s="2"/>
      <c r="T275" s="2"/>
      <c r="U275" s="2"/>
      <c r="V275" s="2"/>
      <c r="W275" s="2"/>
      <c r="X275" s="3"/>
      <c r="Y275" s="2"/>
      <c r="Z275" s="2"/>
      <c r="AA275" s="2"/>
      <c r="AB275" s="2"/>
      <c r="AC275" s="2"/>
      <c r="AD275" s="2"/>
      <c r="AE275" s="2"/>
      <c r="AF275" s="2"/>
      <c r="AG275" s="2"/>
      <c r="AH275" s="2"/>
      <c r="AI275" s="2"/>
      <c r="AJ275" s="2"/>
      <c r="AK275" s="2"/>
      <c r="AL275" s="2"/>
    </row>
    <row r="276">
      <c r="A276" s="1"/>
      <c r="B276" s="2"/>
      <c r="C276" s="2"/>
      <c r="D276" s="2"/>
      <c r="E276" s="2"/>
      <c r="F276" s="2"/>
      <c r="G276" s="2"/>
      <c r="H276" s="2"/>
      <c r="I276" s="2"/>
      <c r="J276" s="2"/>
      <c r="K276" s="2"/>
      <c r="L276" s="2"/>
      <c r="M276" s="2"/>
      <c r="N276" s="2"/>
      <c r="O276" s="2"/>
      <c r="P276" s="2"/>
      <c r="Q276" s="2"/>
      <c r="R276" s="2"/>
      <c r="S276" s="2"/>
      <c r="T276" s="2"/>
      <c r="U276" s="2"/>
      <c r="V276" s="2"/>
      <c r="W276" s="2"/>
      <c r="X276" s="3"/>
      <c r="Y276" s="2"/>
      <c r="Z276" s="2"/>
      <c r="AA276" s="2"/>
      <c r="AB276" s="2"/>
      <c r="AC276" s="2"/>
      <c r="AD276" s="2"/>
      <c r="AE276" s="2"/>
      <c r="AF276" s="2"/>
      <c r="AG276" s="2"/>
      <c r="AH276" s="2"/>
      <c r="AI276" s="2"/>
      <c r="AJ276" s="2"/>
      <c r="AK276" s="2"/>
      <c r="AL276" s="2"/>
    </row>
    <row r="277">
      <c r="A277" s="1"/>
      <c r="B277" s="2"/>
      <c r="C277" s="2"/>
      <c r="D277" s="2"/>
      <c r="E277" s="2"/>
      <c r="F277" s="2"/>
      <c r="G277" s="2"/>
      <c r="H277" s="2"/>
      <c r="I277" s="2"/>
      <c r="J277" s="2"/>
      <c r="K277" s="2"/>
      <c r="L277" s="2"/>
      <c r="M277" s="2"/>
      <c r="N277" s="2"/>
      <c r="O277" s="2"/>
      <c r="P277" s="2"/>
      <c r="Q277" s="2"/>
      <c r="R277" s="2"/>
      <c r="S277" s="2"/>
      <c r="T277" s="2"/>
      <c r="U277" s="2"/>
      <c r="V277" s="2"/>
      <c r="W277" s="2"/>
      <c r="X277" s="3"/>
      <c r="Y277" s="2"/>
      <c r="Z277" s="2"/>
      <c r="AA277" s="2"/>
      <c r="AB277" s="2"/>
      <c r="AC277" s="2"/>
      <c r="AD277" s="2"/>
      <c r="AE277" s="2"/>
      <c r="AF277" s="2"/>
      <c r="AG277" s="2"/>
      <c r="AH277" s="2"/>
      <c r="AI277" s="2"/>
      <c r="AJ277" s="2"/>
      <c r="AK277" s="2"/>
      <c r="AL277" s="2"/>
    </row>
    <row r="278">
      <c r="A278" s="1"/>
      <c r="B278" s="2"/>
      <c r="C278" s="2"/>
      <c r="D278" s="2"/>
      <c r="E278" s="2"/>
      <c r="F278" s="2"/>
      <c r="G278" s="2"/>
      <c r="H278" s="2"/>
      <c r="I278" s="2"/>
      <c r="J278" s="2"/>
      <c r="K278" s="2"/>
      <c r="L278" s="2"/>
      <c r="M278" s="2"/>
      <c r="N278" s="2"/>
      <c r="O278" s="2"/>
      <c r="P278" s="2"/>
      <c r="Q278" s="2"/>
      <c r="R278" s="2"/>
      <c r="S278" s="2"/>
      <c r="T278" s="2"/>
      <c r="U278" s="2"/>
      <c r="V278" s="2"/>
      <c r="W278" s="2"/>
      <c r="X278" s="3"/>
      <c r="Y278" s="2"/>
      <c r="Z278" s="2"/>
      <c r="AA278" s="2"/>
      <c r="AB278" s="2"/>
      <c r="AC278" s="2"/>
      <c r="AD278" s="2"/>
      <c r="AE278" s="2"/>
      <c r="AF278" s="2"/>
      <c r="AG278" s="2"/>
      <c r="AH278" s="2"/>
      <c r="AI278" s="2"/>
      <c r="AJ278" s="2"/>
      <c r="AK278" s="2"/>
      <c r="AL278" s="2"/>
    </row>
    <row r="279">
      <c r="A279" s="1"/>
      <c r="B279" s="2"/>
      <c r="C279" s="2"/>
      <c r="D279" s="2"/>
      <c r="E279" s="2"/>
      <c r="F279" s="2"/>
      <c r="G279" s="2"/>
      <c r="H279" s="2"/>
      <c r="I279" s="2"/>
      <c r="J279" s="2"/>
      <c r="K279" s="2"/>
      <c r="L279" s="2"/>
      <c r="M279" s="2"/>
      <c r="N279" s="2"/>
      <c r="O279" s="2"/>
      <c r="P279" s="2"/>
      <c r="Q279" s="2"/>
      <c r="R279" s="2"/>
      <c r="S279" s="2"/>
      <c r="T279" s="2"/>
      <c r="U279" s="2"/>
      <c r="V279" s="2"/>
      <c r="W279" s="2"/>
      <c r="X279" s="3"/>
      <c r="Y279" s="2"/>
      <c r="Z279" s="2"/>
      <c r="AA279" s="2"/>
      <c r="AB279" s="2"/>
      <c r="AC279" s="2"/>
      <c r="AD279" s="2"/>
      <c r="AE279" s="2"/>
      <c r="AF279" s="2"/>
      <c r="AG279" s="2"/>
      <c r="AH279" s="2"/>
      <c r="AI279" s="2"/>
      <c r="AJ279" s="2"/>
      <c r="AK279" s="2"/>
      <c r="AL279" s="2"/>
    </row>
    <row r="280">
      <c r="A280" s="1"/>
      <c r="B280" s="2"/>
      <c r="C280" s="2"/>
      <c r="D280" s="2"/>
      <c r="E280" s="2"/>
      <c r="F280" s="2"/>
      <c r="G280" s="2"/>
      <c r="H280" s="2"/>
      <c r="I280" s="2"/>
      <c r="J280" s="2"/>
      <c r="K280" s="2"/>
      <c r="L280" s="2"/>
      <c r="M280" s="2"/>
      <c r="N280" s="2"/>
      <c r="O280" s="2"/>
      <c r="P280" s="2"/>
      <c r="Q280" s="2"/>
      <c r="R280" s="2"/>
      <c r="S280" s="2"/>
      <c r="T280" s="2"/>
      <c r="U280" s="2"/>
      <c r="V280" s="2"/>
      <c r="W280" s="2"/>
      <c r="X280" s="3"/>
      <c r="Y280" s="2"/>
      <c r="Z280" s="2"/>
      <c r="AA280" s="2"/>
      <c r="AB280" s="2"/>
      <c r="AC280" s="2"/>
      <c r="AD280" s="2"/>
      <c r="AE280" s="2"/>
      <c r="AF280" s="2"/>
      <c r="AG280" s="2"/>
      <c r="AH280" s="2"/>
      <c r="AI280" s="2"/>
      <c r="AJ280" s="2"/>
      <c r="AK280" s="2"/>
      <c r="AL280" s="2"/>
    </row>
    <row r="281">
      <c r="A281" s="1"/>
      <c r="B281" s="2"/>
      <c r="C281" s="2"/>
      <c r="D281" s="2"/>
      <c r="E281" s="2"/>
      <c r="F281" s="2"/>
      <c r="G281" s="2"/>
      <c r="H281" s="2"/>
      <c r="I281" s="2"/>
      <c r="J281" s="2"/>
      <c r="K281" s="2"/>
      <c r="L281" s="2"/>
      <c r="M281" s="2"/>
      <c r="N281" s="2"/>
      <c r="O281" s="2"/>
      <c r="P281" s="2"/>
      <c r="Q281" s="2"/>
      <c r="R281" s="2"/>
      <c r="S281" s="2"/>
      <c r="T281" s="2"/>
      <c r="U281" s="2"/>
      <c r="V281" s="2"/>
      <c r="W281" s="2"/>
      <c r="X281" s="3"/>
      <c r="Y281" s="2"/>
      <c r="Z281" s="2"/>
      <c r="AA281" s="2"/>
      <c r="AB281" s="2"/>
      <c r="AC281" s="2"/>
      <c r="AD281" s="2"/>
      <c r="AE281" s="2"/>
      <c r="AF281" s="2"/>
      <c r="AG281" s="2"/>
      <c r="AH281" s="2"/>
      <c r="AI281" s="2"/>
      <c r="AJ281" s="2"/>
      <c r="AK281" s="2"/>
      <c r="AL281" s="2"/>
    </row>
    <row r="282">
      <c r="A282" s="1"/>
      <c r="B282" s="2"/>
      <c r="C282" s="2"/>
      <c r="D282" s="2"/>
      <c r="E282" s="2"/>
      <c r="F282" s="2"/>
      <c r="G282" s="2"/>
      <c r="H282" s="2"/>
      <c r="I282" s="2"/>
      <c r="J282" s="2"/>
      <c r="K282" s="2"/>
      <c r="L282" s="2"/>
      <c r="M282" s="2"/>
      <c r="N282" s="2"/>
      <c r="O282" s="2"/>
      <c r="P282" s="2"/>
      <c r="Q282" s="2"/>
      <c r="R282" s="2"/>
      <c r="S282" s="2"/>
      <c r="T282" s="2"/>
      <c r="U282" s="2"/>
      <c r="V282" s="2"/>
      <c r="W282" s="2"/>
      <c r="X282" s="3"/>
      <c r="Y282" s="2"/>
      <c r="Z282" s="2"/>
      <c r="AA282" s="2"/>
      <c r="AB282" s="2"/>
      <c r="AC282" s="2"/>
      <c r="AD282" s="2"/>
      <c r="AE282" s="2"/>
      <c r="AF282" s="2"/>
      <c r="AG282" s="2"/>
      <c r="AH282" s="2"/>
      <c r="AI282" s="2"/>
      <c r="AJ282" s="2"/>
      <c r="AK282" s="2"/>
      <c r="AL282" s="2"/>
    </row>
    <row r="283">
      <c r="A283" s="1"/>
      <c r="B283" s="2"/>
      <c r="C283" s="2"/>
      <c r="D283" s="2"/>
      <c r="E283" s="2"/>
      <c r="F283" s="2"/>
      <c r="G283" s="2"/>
      <c r="H283" s="2"/>
      <c r="I283" s="2"/>
      <c r="J283" s="2"/>
      <c r="K283" s="2"/>
      <c r="L283" s="2"/>
      <c r="M283" s="2"/>
      <c r="N283" s="2"/>
      <c r="O283" s="2"/>
      <c r="P283" s="2"/>
      <c r="Q283" s="2"/>
      <c r="R283" s="2"/>
      <c r="S283" s="2"/>
      <c r="T283" s="2"/>
      <c r="U283" s="2"/>
      <c r="V283" s="2"/>
      <c r="W283" s="2"/>
      <c r="X283" s="3"/>
      <c r="Y283" s="2"/>
      <c r="Z283" s="2"/>
      <c r="AA283" s="2"/>
      <c r="AB283" s="2"/>
      <c r="AC283" s="2"/>
      <c r="AD283" s="2"/>
      <c r="AE283" s="2"/>
      <c r="AF283" s="2"/>
      <c r="AG283" s="2"/>
      <c r="AH283" s="2"/>
      <c r="AI283" s="2"/>
      <c r="AJ283" s="2"/>
      <c r="AK283" s="2"/>
      <c r="AL283" s="2"/>
    </row>
    <row r="284">
      <c r="A284" s="1"/>
      <c r="B284" s="2"/>
      <c r="C284" s="2"/>
      <c r="D284" s="2"/>
      <c r="E284" s="2"/>
      <c r="F284" s="2"/>
      <c r="G284" s="2"/>
      <c r="H284" s="2"/>
      <c r="I284" s="2"/>
      <c r="J284" s="2"/>
      <c r="K284" s="2"/>
      <c r="L284" s="2"/>
      <c r="M284" s="2"/>
      <c r="N284" s="2"/>
      <c r="O284" s="2"/>
      <c r="P284" s="2"/>
      <c r="Q284" s="2"/>
      <c r="R284" s="2"/>
      <c r="S284" s="2"/>
      <c r="T284" s="2"/>
      <c r="U284" s="2"/>
      <c r="V284" s="2"/>
      <c r="W284" s="2"/>
      <c r="X284" s="3"/>
      <c r="Y284" s="2"/>
      <c r="Z284" s="2"/>
      <c r="AA284" s="2"/>
      <c r="AB284" s="2"/>
      <c r="AC284" s="2"/>
      <c r="AD284" s="2"/>
      <c r="AE284" s="2"/>
      <c r="AF284" s="2"/>
      <c r="AG284" s="2"/>
      <c r="AH284" s="2"/>
      <c r="AI284" s="2"/>
      <c r="AJ284" s="2"/>
      <c r="AK284" s="2"/>
      <c r="AL284" s="2"/>
    </row>
    <row r="285">
      <c r="A285" s="1"/>
      <c r="B285" s="2"/>
      <c r="C285" s="2"/>
      <c r="D285" s="2"/>
      <c r="E285" s="2"/>
      <c r="F285" s="2"/>
      <c r="G285" s="2"/>
      <c r="H285" s="2"/>
      <c r="I285" s="2"/>
      <c r="J285" s="2"/>
      <c r="K285" s="2"/>
      <c r="L285" s="2"/>
      <c r="M285" s="2"/>
      <c r="N285" s="2"/>
      <c r="O285" s="2"/>
      <c r="P285" s="2"/>
      <c r="Q285" s="2"/>
      <c r="R285" s="2"/>
      <c r="S285" s="2"/>
      <c r="T285" s="2"/>
      <c r="U285" s="2"/>
      <c r="V285" s="2"/>
      <c r="W285" s="2"/>
      <c r="X285" s="3"/>
      <c r="Y285" s="2"/>
      <c r="Z285" s="2"/>
      <c r="AA285" s="2"/>
      <c r="AB285" s="2"/>
      <c r="AC285" s="2"/>
      <c r="AD285" s="2"/>
      <c r="AE285" s="2"/>
      <c r="AF285" s="2"/>
      <c r="AG285" s="2"/>
      <c r="AH285" s="2"/>
      <c r="AI285" s="2"/>
      <c r="AJ285" s="2"/>
      <c r="AK285" s="2"/>
      <c r="AL285" s="2"/>
    </row>
    <row r="286">
      <c r="A286" s="1"/>
      <c r="B286" s="2"/>
      <c r="C286" s="2"/>
      <c r="D286" s="2"/>
      <c r="E286" s="2"/>
      <c r="F286" s="2"/>
      <c r="G286" s="2"/>
      <c r="H286" s="2"/>
      <c r="I286" s="2"/>
      <c r="J286" s="2"/>
      <c r="K286" s="2"/>
      <c r="L286" s="2"/>
      <c r="M286" s="2"/>
      <c r="N286" s="2"/>
      <c r="O286" s="2"/>
      <c r="P286" s="2"/>
      <c r="Q286" s="2"/>
      <c r="R286" s="2"/>
      <c r="S286" s="2"/>
      <c r="T286" s="2"/>
      <c r="U286" s="2"/>
      <c r="V286" s="2"/>
      <c r="W286" s="2"/>
      <c r="X286" s="3"/>
      <c r="Y286" s="2"/>
      <c r="Z286" s="2"/>
      <c r="AA286" s="2"/>
      <c r="AB286" s="2"/>
      <c r="AC286" s="2"/>
      <c r="AD286" s="2"/>
      <c r="AE286" s="2"/>
      <c r="AF286" s="2"/>
      <c r="AG286" s="2"/>
      <c r="AH286" s="2"/>
      <c r="AI286" s="2"/>
      <c r="AJ286" s="2"/>
      <c r="AK286" s="2"/>
      <c r="AL286" s="2"/>
    </row>
    <row r="287">
      <c r="A287" s="1"/>
      <c r="B287" s="2"/>
      <c r="C287" s="2"/>
      <c r="D287" s="2"/>
      <c r="E287" s="2"/>
      <c r="F287" s="2"/>
      <c r="G287" s="2"/>
      <c r="H287" s="2"/>
      <c r="I287" s="2"/>
      <c r="J287" s="2"/>
      <c r="K287" s="2"/>
      <c r="L287" s="2"/>
      <c r="M287" s="2"/>
      <c r="N287" s="2"/>
      <c r="O287" s="2"/>
      <c r="P287" s="2"/>
      <c r="Q287" s="2"/>
      <c r="R287" s="2"/>
      <c r="S287" s="2"/>
      <c r="T287" s="2"/>
      <c r="U287" s="2"/>
      <c r="V287" s="2"/>
      <c r="W287" s="2"/>
      <c r="X287" s="3"/>
      <c r="Y287" s="2"/>
      <c r="Z287" s="2"/>
      <c r="AA287" s="2"/>
      <c r="AB287" s="2"/>
      <c r="AC287" s="2"/>
      <c r="AD287" s="2"/>
      <c r="AE287" s="2"/>
      <c r="AF287" s="2"/>
      <c r="AG287" s="2"/>
      <c r="AH287" s="2"/>
      <c r="AI287" s="2"/>
      <c r="AJ287" s="2"/>
      <c r="AK287" s="2"/>
      <c r="AL287" s="2"/>
    </row>
    <row r="288">
      <c r="A288" s="1"/>
      <c r="B288" s="2"/>
      <c r="C288" s="2"/>
      <c r="D288" s="2"/>
      <c r="E288" s="2"/>
      <c r="F288" s="2"/>
      <c r="G288" s="2"/>
      <c r="H288" s="2"/>
      <c r="I288" s="2"/>
      <c r="J288" s="2"/>
      <c r="K288" s="2"/>
      <c r="L288" s="2"/>
      <c r="M288" s="2"/>
      <c r="N288" s="2"/>
      <c r="O288" s="2"/>
      <c r="P288" s="2"/>
      <c r="Q288" s="2"/>
      <c r="R288" s="2"/>
      <c r="S288" s="2"/>
      <c r="T288" s="2"/>
      <c r="U288" s="2"/>
      <c r="V288" s="2"/>
      <c r="W288" s="2"/>
      <c r="X288" s="3"/>
      <c r="Y288" s="2"/>
      <c r="Z288" s="2"/>
      <c r="AA288" s="2"/>
      <c r="AB288" s="2"/>
      <c r="AC288" s="2"/>
      <c r="AD288" s="2"/>
      <c r="AE288" s="2"/>
      <c r="AF288" s="2"/>
      <c r="AG288" s="2"/>
      <c r="AH288" s="2"/>
      <c r="AI288" s="2"/>
      <c r="AJ288" s="2"/>
      <c r="AK288" s="2"/>
      <c r="AL288" s="2"/>
    </row>
    <row r="289">
      <c r="A289" s="1"/>
      <c r="B289" s="2"/>
      <c r="C289" s="2"/>
      <c r="D289" s="2"/>
      <c r="E289" s="2"/>
      <c r="F289" s="2"/>
      <c r="G289" s="2"/>
      <c r="H289" s="2"/>
      <c r="I289" s="2"/>
      <c r="J289" s="2"/>
      <c r="K289" s="2"/>
      <c r="L289" s="2"/>
      <c r="M289" s="2"/>
      <c r="N289" s="2"/>
      <c r="O289" s="2"/>
      <c r="P289" s="2"/>
      <c r="Q289" s="2"/>
      <c r="R289" s="2"/>
      <c r="S289" s="2"/>
      <c r="T289" s="2"/>
      <c r="U289" s="2"/>
      <c r="V289" s="2"/>
      <c r="W289" s="2"/>
      <c r="X289" s="3"/>
      <c r="Y289" s="2"/>
      <c r="Z289" s="2"/>
      <c r="AA289" s="2"/>
      <c r="AB289" s="2"/>
      <c r="AC289" s="2"/>
      <c r="AD289" s="2"/>
      <c r="AE289" s="2"/>
      <c r="AF289" s="2"/>
      <c r="AG289" s="2"/>
      <c r="AH289" s="2"/>
      <c r="AI289" s="2"/>
      <c r="AJ289" s="2"/>
      <c r="AK289" s="2"/>
      <c r="AL289" s="2"/>
    </row>
    <row r="290">
      <c r="A290" s="1"/>
      <c r="B290" s="2"/>
      <c r="C290" s="2"/>
      <c r="D290" s="2"/>
      <c r="E290" s="2"/>
      <c r="F290" s="2"/>
      <c r="G290" s="2"/>
      <c r="H290" s="2"/>
      <c r="I290" s="2"/>
      <c r="J290" s="2"/>
      <c r="K290" s="2"/>
      <c r="L290" s="2"/>
      <c r="M290" s="2"/>
      <c r="N290" s="2"/>
      <c r="O290" s="2"/>
      <c r="P290" s="2"/>
      <c r="Q290" s="2"/>
      <c r="R290" s="2"/>
      <c r="S290" s="2"/>
      <c r="T290" s="2"/>
      <c r="U290" s="2"/>
      <c r="V290" s="2"/>
      <c r="W290" s="2"/>
      <c r="X290" s="3"/>
      <c r="Y290" s="2"/>
      <c r="Z290" s="2"/>
      <c r="AA290" s="2"/>
      <c r="AB290" s="2"/>
      <c r="AC290" s="2"/>
      <c r="AD290" s="2"/>
      <c r="AE290" s="2"/>
      <c r="AF290" s="2"/>
      <c r="AG290" s="2"/>
      <c r="AH290" s="2"/>
      <c r="AI290" s="2"/>
      <c r="AJ290" s="2"/>
      <c r="AK290" s="2"/>
      <c r="AL290" s="2"/>
    </row>
    <row r="291">
      <c r="A291" s="1"/>
      <c r="B291" s="2"/>
      <c r="C291" s="2"/>
      <c r="D291" s="2"/>
      <c r="E291" s="2"/>
      <c r="F291" s="2"/>
      <c r="G291" s="2"/>
      <c r="H291" s="2"/>
      <c r="I291" s="2"/>
      <c r="J291" s="2"/>
      <c r="K291" s="2"/>
      <c r="L291" s="2"/>
      <c r="M291" s="2"/>
      <c r="N291" s="2"/>
      <c r="O291" s="2"/>
      <c r="P291" s="2"/>
      <c r="Q291" s="2"/>
      <c r="R291" s="2"/>
      <c r="S291" s="2"/>
      <c r="T291" s="2"/>
      <c r="U291" s="2"/>
      <c r="V291" s="2"/>
      <c r="W291" s="2"/>
      <c r="X291" s="3"/>
      <c r="Y291" s="2"/>
      <c r="Z291" s="2"/>
      <c r="AA291" s="2"/>
      <c r="AB291" s="2"/>
      <c r="AC291" s="2"/>
      <c r="AD291" s="2"/>
      <c r="AE291" s="2"/>
      <c r="AF291" s="2"/>
      <c r="AG291" s="2"/>
      <c r="AH291" s="2"/>
      <c r="AI291" s="2"/>
      <c r="AJ291" s="2"/>
      <c r="AK291" s="2"/>
      <c r="AL291" s="2"/>
    </row>
    <row r="292">
      <c r="A292" s="1"/>
      <c r="B292" s="2"/>
      <c r="C292" s="2"/>
      <c r="D292" s="2"/>
      <c r="E292" s="2"/>
      <c r="F292" s="2"/>
      <c r="G292" s="2"/>
      <c r="H292" s="2"/>
      <c r="I292" s="2"/>
      <c r="J292" s="2"/>
      <c r="K292" s="2"/>
      <c r="L292" s="2"/>
      <c r="M292" s="2"/>
      <c r="N292" s="2"/>
      <c r="O292" s="2"/>
      <c r="P292" s="2"/>
      <c r="Q292" s="2"/>
      <c r="R292" s="2"/>
      <c r="S292" s="2"/>
      <c r="T292" s="2"/>
      <c r="U292" s="2"/>
      <c r="V292" s="2"/>
      <c r="W292" s="2"/>
      <c r="X292" s="3"/>
      <c r="Y292" s="2"/>
      <c r="Z292" s="2"/>
      <c r="AA292" s="2"/>
      <c r="AB292" s="2"/>
      <c r="AC292" s="2"/>
      <c r="AD292" s="2"/>
      <c r="AE292" s="2"/>
      <c r="AF292" s="2"/>
      <c r="AG292" s="2"/>
      <c r="AH292" s="2"/>
      <c r="AI292" s="2"/>
      <c r="AJ292" s="2"/>
      <c r="AK292" s="2"/>
      <c r="AL292" s="2"/>
    </row>
    <row r="293">
      <c r="A293" s="1"/>
      <c r="B293" s="2"/>
      <c r="C293" s="2"/>
      <c r="D293" s="2"/>
      <c r="E293" s="2"/>
      <c r="F293" s="2"/>
      <c r="G293" s="2"/>
      <c r="H293" s="2"/>
      <c r="I293" s="2"/>
      <c r="J293" s="2"/>
      <c r="K293" s="2"/>
      <c r="L293" s="2"/>
      <c r="M293" s="2"/>
      <c r="N293" s="2"/>
      <c r="O293" s="2"/>
      <c r="P293" s="2"/>
      <c r="Q293" s="2"/>
      <c r="R293" s="2"/>
      <c r="S293" s="2"/>
      <c r="T293" s="2"/>
      <c r="U293" s="2"/>
      <c r="V293" s="2"/>
      <c r="W293" s="2"/>
      <c r="X293" s="3"/>
      <c r="Y293" s="2"/>
      <c r="Z293" s="2"/>
      <c r="AA293" s="2"/>
      <c r="AB293" s="2"/>
      <c r="AC293" s="2"/>
      <c r="AD293" s="2"/>
      <c r="AE293" s="2"/>
      <c r="AF293" s="2"/>
      <c r="AG293" s="2"/>
      <c r="AH293" s="2"/>
      <c r="AI293" s="2"/>
      <c r="AJ293" s="2"/>
      <c r="AK293" s="2"/>
      <c r="AL293" s="2"/>
    </row>
    <row r="294">
      <c r="A294" s="1"/>
      <c r="B294" s="2"/>
      <c r="C294" s="2"/>
      <c r="D294" s="2"/>
      <c r="E294" s="2"/>
      <c r="F294" s="2"/>
      <c r="G294" s="2"/>
      <c r="H294" s="2"/>
      <c r="I294" s="2"/>
      <c r="J294" s="2"/>
      <c r="K294" s="2"/>
      <c r="L294" s="2"/>
      <c r="M294" s="2"/>
      <c r="N294" s="2"/>
      <c r="O294" s="2"/>
      <c r="P294" s="2"/>
      <c r="Q294" s="2"/>
      <c r="R294" s="2"/>
      <c r="S294" s="2"/>
      <c r="T294" s="2"/>
      <c r="U294" s="2"/>
      <c r="V294" s="2"/>
      <c r="W294" s="2"/>
      <c r="X294" s="3"/>
      <c r="Y294" s="2"/>
      <c r="Z294" s="2"/>
      <c r="AA294" s="2"/>
      <c r="AB294" s="2"/>
      <c r="AC294" s="2"/>
      <c r="AD294" s="2"/>
      <c r="AE294" s="2"/>
      <c r="AF294" s="2"/>
      <c r="AG294" s="2"/>
      <c r="AH294" s="2"/>
      <c r="AI294" s="2"/>
      <c r="AJ294" s="2"/>
      <c r="AK294" s="2"/>
      <c r="AL294" s="2"/>
    </row>
    <row r="295">
      <c r="A295" s="1"/>
      <c r="B295" s="2"/>
      <c r="C295" s="2"/>
      <c r="D295" s="2"/>
      <c r="E295" s="2"/>
      <c r="F295" s="2"/>
      <c r="G295" s="2"/>
      <c r="H295" s="2"/>
      <c r="I295" s="2"/>
      <c r="J295" s="2"/>
      <c r="K295" s="2"/>
      <c r="L295" s="2"/>
      <c r="M295" s="2"/>
      <c r="N295" s="2"/>
      <c r="O295" s="2"/>
      <c r="P295" s="2"/>
      <c r="Q295" s="2"/>
      <c r="R295" s="2"/>
      <c r="S295" s="2"/>
      <c r="T295" s="2"/>
      <c r="U295" s="2"/>
      <c r="V295" s="2"/>
      <c r="W295" s="2"/>
      <c r="X295" s="3"/>
      <c r="Y295" s="2"/>
      <c r="Z295" s="2"/>
      <c r="AA295" s="2"/>
      <c r="AB295" s="2"/>
      <c r="AC295" s="2"/>
      <c r="AD295" s="2"/>
      <c r="AE295" s="2"/>
      <c r="AF295" s="2"/>
      <c r="AG295" s="2"/>
      <c r="AH295" s="2"/>
      <c r="AI295" s="2"/>
      <c r="AJ295" s="2"/>
      <c r="AK295" s="2"/>
      <c r="AL295" s="2"/>
    </row>
    <row r="296">
      <c r="A296" s="1"/>
      <c r="B296" s="2"/>
      <c r="C296" s="2"/>
      <c r="D296" s="2"/>
      <c r="E296" s="2"/>
      <c r="F296" s="2"/>
      <c r="G296" s="2"/>
      <c r="H296" s="2"/>
      <c r="I296" s="2"/>
      <c r="J296" s="2"/>
      <c r="K296" s="2"/>
      <c r="L296" s="2"/>
      <c r="M296" s="2"/>
      <c r="N296" s="2"/>
      <c r="O296" s="2"/>
      <c r="P296" s="2"/>
      <c r="Q296" s="2"/>
      <c r="R296" s="2"/>
      <c r="S296" s="2"/>
      <c r="T296" s="2"/>
      <c r="U296" s="2"/>
      <c r="V296" s="2"/>
      <c r="W296" s="2"/>
      <c r="X296" s="3"/>
      <c r="Y296" s="2"/>
      <c r="Z296" s="2"/>
      <c r="AA296" s="2"/>
      <c r="AB296" s="2"/>
      <c r="AC296" s="2"/>
      <c r="AD296" s="2"/>
      <c r="AE296" s="2"/>
      <c r="AF296" s="2"/>
      <c r="AG296" s="2"/>
      <c r="AH296" s="2"/>
      <c r="AI296" s="2"/>
      <c r="AJ296" s="2"/>
      <c r="AK296" s="2"/>
      <c r="AL296" s="2"/>
    </row>
    <row r="297">
      <c r="A297" s="1"/>
      <c r="B297" s="2"/>
      <c r="C297" s="2"/>
      <c r="D297" s="2"/>
      <c r="E297" s="2"/>
      <c r="F297" s="2"/>
      <c r="G297" s="2"/>
      <c r="H297" s="2"/>
      <c r="I297" s="2"/>
      <c r="J297" s="2"/>
      <c r="K297" s="2"/>
      <c r="L297" s="2"/>
      <c r="M297" s="2"/>
      <c r="N297" s="2"/>
      <c r="O297" s="2"/>
      <c r="P297" s="2"/>
      <c r="Q297" s="2"/>
      <c r="R297" s="2"/>
      <c r="S297" s="2"/>
      <c r="T297" s="2"/>
      <c r="U297" s="2"/>
      <c r="V297" s="2"/>
      <c r="W297" s="2"/>
      <c r="X297" s="3"/>
      <c r="Y297" s="2"/>
      <c r="Z297" s="2"/>
      <c r="AA297" s="2"/>
      <c r="AB297" s="2"/>
      <c r="AC297" s="2"/>
      <c r="AD297" s="2"/>
      <c r="AE297" s="2"/>
      <c r="AF297" s="2"/>
      <c r="AG297" s="2"/>
      <c r="AH297" s="2"/>
      <c r="AI297" s="2"/>
      <c r="AJ297" s="2"/>
      <c r="AK297" s="2"/>
      <c r="AL297" s="2"/>
    </row>
    <row r="298">
      <c r="A298" s="1"/>
      <c r="B298" s="2"/>
      <c r="C298" s="2"/>
      <c r="D298" s="2"/>
      <c r="E298" s="2"/>
      <c r="F298" s="2"/>
      <c r="G298" s="2"/>
      <c r="H298" s="2"/>
      <c r="I298" s="2"/>
      <c r="J298" s="2"/>
      <c r="K298" s="2"/>
      <c r="L298" s="2"/>
      <c r="M298" s="2"/>
      <c r="N298" s="2"/>
      <c r="O298" s="2"/>
      <c r="P298" s="2"/>
      <c r="Q298" s="2"/>
      <c r="R298" s="2"/>
      <c r="S298" s="2"/>
      <c r="T298" s="2"/>
      <c r="U298" s="2"/>
      <c r="V298" s="2"/>
      <c r="W298" s="2"/>
      <c r="X298" s="3"/>
      <c r="Y298" s="2"/>
      <c r="Z298" s="2"/>
      <c r="AA298" s="2"/>
      <c r="AB298" s="2"/>
      <c r="AC298" s="2"/>
      <c r="AD298" s="2"/>
      <c r="AE298" s="2"/>
      <c r="AF298" s="2"/>
      <c r="AG298" s="2"/>
      <c r="AH298" s="2"/>
      <c r="AI298" s="2"/>
      <c r="AJ298" s="2"/>
      <c r="AK298" s="2"/>
      <c r="AL298" s="2"/>
    </row>
    <row r="299">
      <c r="A299" s="1"/>
      <c r="B299" s="2"/>
      <c r="C299" s="2"/>
      <c r="D299" s="2"/>
      <c r="E299" s="2"/>
      <c r="F299" s="2"/>
      <c r="G299" s="2"/>
      <c r="H299" s="2"/>
      <c r="I299" s="2"/>
      <c r="J299" s="2"/>
      <c r="K299" s="2"/>
      <c r="L299" s="2"/>
      <c r="M299" s="2"/>
      <c r="N299" s="2"/>
      <c r="O299" s="2"/>
      <c r="P299" s="2"/>
      <c r="Q299" s="2"/>
      <c r="R299" s="2"/>
      <c r="S299" s="2"/>
      <c r="T299" s="2"/>
      <c r="U299" s="2"/>
      <c r="V299" s="2"/>
      <c r="W299" s="2"/>
      <c r="X299" s="3"/>
      <c r="Y299" s="2"/>
      <c r="Z299" s="2"/>
      <c r="AA299" s="2"/>
      <c r="AB299" s="2"/>
      <c r="AC299" s="2"/>
      <c r="AD299" s="2"/>
      <c r="AE299" s="2"/>
      <c r="AF299" s="2"/>
      <c r="AG299" s="2"/>
      <c r="AH299" s="2"/>
      <c r="AI299" s="2"/>
      <c r="AJ299" s="2"/>
      <c r="AK299" s="2"/>
      <c r="AL299" s="2"/>
    </row>
    <row r="300">
      <c r="A300" s="1"/>
      <c r="B300" s="2"/>
      <c r="C300" s="2"/>
      <c r="D300" s="2"/>
      <c r="E300" s="2"/>
      <c r="F300" s="2"/>
      <c r="G300" s="2"/>
      <c r="H300" s="2"/>
      <c r="I300" s="2"/>
      <c r="J300" s="2"/>
      <c r="K300" s="2"/>
      <c r="L300" s="2"/>
      <c r="M300" s="2"/>
      <c r="N300" s="2"/>
      <c r="O300" s="2"/>
      <c r="P300" s="2"/>
      <c r="Q300" s="2"/>
      <c r="R300" s="2"/>
      <c r="S300" s="2"/>
      <c r="T300" s="2"/>
      <c r="U300" s="2"/>
      <c r="V300" s="2"/>
      <c r="W300" s="2"/>
      <c r="X300" s="3"/>
      <c r="Y300" s="2"/>
      <c r="Z300" s="2"/>
      <c r="AA300" s="2"/>
      <c r="AB300" s="2"/>
      <c r="AC300" s="2"/>
      <c r="AD300" s="2"/>
      <c r="AE300" s="2"/>
      <c r="AF300" s="2"/>
      <c r="AG300" s="2"/>
      <c r="AH300" s="2"/>
      <c r="AI300" s="2"/>
      <c r="AJ300" s="2"/>
      <c r="AK300" s="2"/>
      <c r="AL300" s="2"/>
    </row>
    <row r="301">
      <c r="A301" s="1"/>
      <c r="B301" s="2"/>
      <c r="C301" s="2"/>
      <c r="D301" s="2"/>
      <c r="E301" s="2"/>
      <c r="F301" s="2"/>
      <c r="G301" s="2"/>
      <c r="H301" s="2"/>
      <c r="I301" s="2"/>
      <c r="J301" s="2"/>
      <c r="K301" s="2"/>
      <c r="L301" s="2"/>
      <c r="M301" s="2"/>
      <c r="N301" s="2"/>
      <c r="O301" s="2"/>
      <c r="P301" s="2"/>
      <c r="Q301" s="2"/>
      <c r="R301" s="2"/>
      <c r="S301" s="2"/>
      <c r="T301" s="2"/>
      <c r="U301" s="2"/>
      <c r="V301" s="2"/>
      <c r="W301" s="2"/>
      <c r="X301" s="3"/>
      <c r="Y301" s="2"/>
      <c r="Z301" s="2"/>
      <c r="AA301" s="2"/>
      <c r="AB301" s="2"/>
      <c r="AC301" s="2"/>
      <c r="AD301" s="2"/>
      <c r="AE301" s="2"/>
      <c r="AF301" s="2"/>
      <c r="AG301" s="2"/>
      <c r="AH301" s="2"/>
      <c r="AI301" s="2"/>
      <c r="AJ301" s="2"/>
      <c r="AK301" s="2"/>
      <c r="AL301" s="2"/>
    </row>
    <row r="302">
      <c r="A302" s="1"/>
      <c r="B302" s="2"/>
      <c r="C302" s="2"/>
      <c r="D302" s="2"/>
      <c r="E302" s="2"/>
      <c r="F302" s="2"/>
      <c r="G302" s="2"/>
      <c r="H302" s="2"/>
      <c r="I302" s="2"/>
      <c r="J302" s="2"/>
      <c r="K302" s="2"/>
      <c r="L302" s="2"/>
      <c r="M302" s="2"/>
      <c r="N302" s="2"/>
      <c r="O302" s="2"/>
      <c r="P302" s="2"/>
      <c r="Q302" s="2"/>
      <c r="R302" s="2"/>
      <c r="S302" s="2"/>
      <c r="T302" s="2"/>
      <c r="U302" s="2"/>
      <c r="V302" s="2"/>
      <c r="W302" s="2"/>
      <c r="X302" s="3"/>
      <c r="Y302" s="2"/>
      <c r="Z302" s="2"/>
      <c r="AA302" s="2"/>
      <c r="AB302" s="2"/>
      <c r="AC302" s="2"/>
      <c r="AD302" s="2"/>
      <c r="AE302" s="2"/>
      <c r="AF302" s="2"/>
      <c r="AG302" s="2"/>
      <c r="AH302" s="2"/>
      <c r="AI302" s="2"/>
      <c r="AJ302" s="2"/>
      <c r="AK302" s="2"/>
      <c r="AL302" s="2"/>
    </row>
    <row r="303">
      <c r="A303" s="1"/>
      <c r="B303" s="2"/>
      <c r="C303" s="2"/>
      <c r="D303" s="2"/>
      <c r="E303" s="2"/>
      <c r="F303" s="2"/>
      <c r="G303" s="2"/>
      <c r="H303" s="2"/>
      <c r="I303" s="2"/>
      <c r="J303" s="2"/>
      <c r="K303" s="2"/>
      <c r="L303" s="2"/>
      <c r="M303" s="2"/>
      <c r="N303" s="2"/>
      <c r="O303" s="2"/>
      <c r="P303" s="2"/>
      <c r="Q303" s="2"/>
      <c r="R303" s="2"/>
      <c r="S303" s="2"/>
      <c r="T303" s="2"/>
      <c r="U303" s="2"/>
      <c r="V303" s="2"/>
      <c r="W303" s="2"/>
      <c r="X303" s="3"/>
      <c r="Y303" s="2"/>
      <c r="Z303" s="2"/>
      <c r="AA303" s="2"/>
      <c r="AB303" s="2"/>
      <c r="AC303" s="2"/>
      <c r="AD303" s="2"/>
      <c r="AE303" s="2"/>
      <c r="AF303" s="2"/>
      <c r="AG303" s="2"/>
      <c r="AH303" s="2"/>
      <c r="AI303" s="2"/>
      <c r="AJ303" s="2"/>
      <c r="AK303" s="2"/>
      <c r="AL303" s="2"/>
    </row>
    <row r="304">
      <c r="A304" s="1"/>
      <c r="B304" s="2"/>
      <c r="C304" s="2"/>
      <c r="D304" s="2"/>
      <c r="E304" s="2"/>
      <c r="F304" s="2"/>
      <c r="G304" s="2"/>
      <c r="H304" s="2"/>
      <c r="I304" s="2"/>
      <c r="J304" s="2"/>
      <c r="K304" s="2"/>
      <c r="L304" s="2"/>
      <c r="M304" s="2"/>
      <c r="N304" s="2"/>
      <c r="O304" s="2"/>
      <c r="P304" s="2"/>
      <c r="Q304" s="2"/>
      <c r="R304" s="2"/>
      <c r="S304" s="2"/>
      <c r="T304" s="2"/>
      <c r="U304" s="2"/>
      <c r="V304" s="2"/>
      <c r="W304" s="2"/>
      <c r="X304" s="3"/>
      <c r="Y304" s="2"/>
      <c r="Z304" s="2"/>
      <c r="AA304" s="2"/>
      <c r="AB304" s="2"/>
      <c r="AC304" s="2"/>
      <c r="AD304" s="2"/>
      <c r="AE304" s="2"/>
      <c r="AF304" s="2"/>
      <c r="AG304" s="2"/>
      <c r="AH304" s="2"/>
      <c r="AI304" s="2"/>
      <c r="AJ304" s="2"/>
      <c r="AK304" s="2"/>
      <c r="AL304" s="2"/>
    </row>
    <row r="305">
      <c r="A305" s="1"/>
      <c r="B305" s="2"/>
      <c r="C305" s="2"/>
      <c r="D305" s="2"/>
      <c r="E305" s="2"/>
      <c r="F305" s="2"/>
      <c r="G305" s="2"/>
      <c r="H305" s="2"/>
      <c r="I305" s="2"/>
      <c r="J305" s="2"/>
      <c r="K305" s="2"/>
      <c r="L305" s="2"/>
      <c r="M305" s="2"/>
      <c r="N305" s="2"/>
      <c r="O305" s="2"/>
      <c r="P305" s="2"/>
      <c r="Q305" s="2"/>
      <c r="R305" s="2"/>
      <c r="S305" s="2"/>
      <c r="T305" s="2"/>
      <c r="U305" s="2"/>
      <c r="V305" s="2"/>
      <c r="W305" s="2"/>
      <c r="X305" s="3"/>
      <c r="Y305" s="2"/>
      <c r="Z305" s="2"/>
      <c r="AA305" s="2"/>
      <c r="AB305" s="2"/>
      <c r="AC305" s="2"/>
      <c r="AD305" s="2"/>
      <c r="AE305" s="2"/>
      <c r="AF305" s="2"/>
      <c r="AG305" s="2"/>
      <c r="AH305" s="2"/>
      <c r="AI305" s="2"/>
      <c r="AJ305" s="2"/>
      <c r="AK305" s="2"/>
      <c r="AL305" s="2"/>
    </row>
    <row r="306">
      <c r="A306" s="1"/>
      <c r="B306" s="2"/>
      <c r="C306" s="2"/>
      <c r="D306" s="2"/>
      <c r="E306" s="2"/>
      <c r="F306" s="2"/>
      <c r="G306" s="2"/>
      <c r="H306" s="2"/>
      <c r="I306" s="2"/>
      <c r="J306" s="2"/>
      <c r="K306" s="2"/>
      <c r="L306" s="2"/>
      <c r="M306" s="2"/>
      <c r="N306" s="2"/>
      <c r="O306" s="2"/>
      <c r="P306" s="2"/>
      <c r="Q306" s="2"/>
      <c r="R306" s="2"/>
      <c r="S306" s="2"/>
      <c r="T306" s="2"/>
      <c r="U306" s="2"/>
      <c r="V306" s="2"/>
      <c r="W306" s="2"/>
      <c r="X306" s="3"/>
      <c r="Y306" s="2"/>
      <c r="Z306" s="2"/>
      <c r="AA306" s="2"/>
      <c r="AB306" s="2"/>
      <c r="AC306" s="2"/>
      <c r="AD306" s="2"/>
      <c r="AE306" s="2"/>
      <c r="AF306" s="2"/>
      <c r="AG306" s="2"/>
      <c r="AH306" s="2"/>
      <c r="AI306" s="2"/>
      <c r="AJ306" s="2"/>
      <c r="AK306" s="2"/>
      <c r="AL306" s="2"/>
    </row>
    <row r="307">
      <c r="A307" s="1"/>
      <c r="B307" s="2"/>
      <c r="C307" s="2"/>
      <c r="D307" s="2"/>
      <c r="E307" s="2"/>
      <c r="F307" s="2"/>
      <c r="G307" s="2"/>
      <c r="H307" s="2"/>
      <c r="I307" s="2"/>
      <c r="J307" s="2"/>
      <c r="K307" s="2"/>
      <c r="L307" s="2"/>
      <c r="M307" s="2"/>
      <c r="N307" s="2"/>
      <c r="O307" s="2"/>
      <c r="P307" s="2"/>
      <c r="Q307" s="2"/>
      <c r="R307" s="2"/>
      <c r="S307" s="2"/>
      <c r="T307" s="2"/>
      <c r="U307" s="2"/>
      <c r="V307" s="2"/>
      <c r="W307" s="2"/>
      <c r="X307" s="3"/>
      <c r="Y307" s="2"/>
      <c r="Z307" s="2"/>
      <c r="AA307" s="2"/>
      <c r="AB307" s="2"/>
      <c r="AC307" s="2"/>
      <c r="AD307" s="2"/>
      <c r="AE307" s="2"/>
      <c r="AF307" s="2"/>
      <c r="AG307" s="2"/>
      <c r="AH307" s="2"/>
      <c r="AI307" s="2"/>
      <c r="AJ307" s="2"/>
      <c r="AK307" s="2"/>
      <c r="AL307" s="2"/>
    </row>
    <row r="308">
      <c r="A308" s="1"/>
      <c r="B308" s="2"/>
      <c r="C308" s="2"/>
      <c r="D308" s="2"/>
      <c r="E308" s="2"/>
      <c r="F308" s="2"/>
      <c r="G308" s="2"/>
      <c r="H308" s="2"/>
      <c r="I308" s="2"/>
      <c r="J308" s="2"/>
      <c r="K308" s="2"/>
      <c r="L308" s="2"/>
      <c r="M308" s="2"/>
      <c r="N308" s="2"/>
      <c r="O308" s="2"/>
      <c r="P308" s="2"/>
      <c r="Q308" s="2"/>
      <c r="R308" s="2"/>
      <c r="S308" s="2"/>
      <c r="T308" s="2"/>
      <c r="U308" s="2"/>
      <c r="V308" s="2"/>
      <c r="W308" s="2"/>
      <c r="X308" s="3"/>
      <c r="Y308" s="2"/>
      <c r="Z308" s="2"/>
      <c r="AA308" s="2"/>
      <c r="AB308" s="2"/>
      <c r="AC308" s="2"/>
      <c r="AD308" s="2"/>
      <c r="AE308" s="2"/>
      <c r="AF308" s="2"/>
      <c r="AG308" s="2"/>
      <c r="AH308" s="2"/>
      <c r="AI308" s="2"/>
      <c r="AJ308" s="2"/>
      <c r="AK308" s="2"/>
      <c r="AL308" s="2"/>
    </row>
    <row r="309">
      <c r="A309" s="1"/>
      <c r="B309" s="2"/>
      <c r="C309" s="2"/>
      <c r="D309" s="2"/>
      <c r="E309" s="2"/>
      <c r="F309" s="2"/>
      <c r="G309" s="2"/>
      <c r="H309" s="2"/>
      <c r="I309" s="2"/>
      <c r="J309" s="2"/>
      <c r="K309" s="2"/>
      <c r="L309" s="2"/>
      <c r="M309" s="2"/>
      <c r="N309" s="2"/>
      <c r="O309" s="2"/>
      <c r="P309" s="2"/>
      <c r="Q309" s="2"/>
      <c r="R309" s="2"/>
      <c r="S309" s="2"/>
      <c r="T309" s="2"/>
      <c r="U309" s="2"/>
      <c r="V309" s="2"/>
      <c r="W309" s="2"/>
      <c r="X309" s="3"/>
      <c r="Y309" s="2"/>
      <c r="Z309" s="2"/>
      <c r="AA309" s="2"/>
      <c r="AB309" s="2"/>
      <c r="AC309" s="2"/>
      <c r="AD309" s="2"/>
      <c r="AE309" s="2"/>
      <c r="AF309" s="2"/>
      <c r="AG309" s="2"/>
      <c r="AH309" s="2"/>
      <c r="AI309" s="2"/>
      <c r="AJ309" s="2"/>
      <c r="AK309" s="2"/>
      <c r="AL309" s="2"/>
    </row>
    <row r="310">
      <c r="A310" s="1"/>
      <c r="B310" s="2"/>
      <c r="C310" s="2"/>
      <c r="D310" s="2"/>
      <c r="E310" s="2"/>
      <c r="F310" s="2"/>
      <c r="G310" s="2"/>
      <c r="H310" s="2"/>
      <c r="I310" s="2"/>
      <c r="J310" s="2"/>
      <c r="K310" s="2"/>
      <c r="L310" s="2"/>
      <c r="M310" s="2"/>
      <c r="N310" s="2"/>
      <c r="O310" s="2"/>
      <c r="P310" s="2"/>
      <c r="Q310" s="2"/>
      <c r="R310" s="2"/>
      <c r="S310" s="2"/>
      <c r="T310" s="2"/>
      <c r="U310" s="2"/>
      <c r="V310" s="2"/>
      <c r="W310" s="2"/>
      <c r="X310" s="3"/>
      <c r="Y310" s="2"/>
      <c r="Z310" s="2"/>
      <c r="AA310" s="2"/>
      <c r="AB310" s="2"/>
      <c r="AC310" s="2"/>
      <c r="AD310" s="2"/>
      <c r="AE310" s="2"/>
      <c r="AF310" s="2"/>
      <c r="AG310" s="2"/>
      <c r="AH310" s="2"/>
      <c r="AI310" s="2"/>
      <c r="AJ310" s="2"/>
      <c r="AK310" s="2"/>
      <c r="AL310" s="2"/>
    </row>
    <row r="311">
      <c r="A311" s="1"/>
      <c r="B311" s="2"/>
      <c r="C311" s="2"/>
      <c r="D311" s="2"/>
      <c r="E311" s="2"/>
      <c r="F311" s="2"/>
      <c r="G311" s="2"/>
      <c r="H311" s="2"/>
      <c r="I311" s="2"/>
      <c r="J311" s="2"/>
      <c r="K311" s="2"/>
      <c r="L311" s="2"/>
      <c r="M311" s="2"/>
      <c r="N311" s="2"/>
      <c r="O311" s="2"/>
      <c r="P311" s="2"/>
      <c r="Q311" s="2"/>
      <c r="R311" s="2"/>
      <c r="S311" s="2"/>
      <c r="T311" s="2"/>
      <c r="U311" s="2"/>
      <c r="V311" s="2"/>
      <c r="W311" s="2"/>
      <c r="X311" s="3"/>
      <c r="Y311" s="2"/>
      <c r="Z311" s="2"/>
      <c r="AA311" s="2"/>
      <c r="AB311" s="2"/>
      <c r="AC311" s="2"/>
      <c r="AD311" s="2"/>
      <c r="AE311" s="2"/>
      <c r="AF311" s="2"/>
      <c r="AG311" s="2"/>
      <c r="AH311" s="2"/>
      <c r="AI311" s="2"/>
      <c r="AJ311" s="2"/>
      <c r="AK311" s="2"/>
      <c r="AL311" s="2"/>
    </row>
    <row r="312">
      <c r="A312" s="1"/>
      <c r="B312" s="2"/>
      <c r="C312" s="2"/>
      <c r="D312" s="2"/>
      <c r="E312" s="2"/>
      <c r="F312" s="2"/>
      <c r="G312" s="2"/>
      <c r="H312" s="2"/>
      <c r="I312" s="2"/>
      <c r="J312" s="2"/>
      <c r="K312" s="2"/>
      <c r="L312" s="2"/>
      <c r="M312" s="2"/>
      <c r="N312" s="2"/>
      <c r="O312" s="2"/>
      <c r="P312" s="2"/>
      <c r="Q312" s="2"/>
      <c r="R312" s="2"/>
      <c r="S312" s="2"/>
      <c r="T312" s="2"/>
      <c r="U312" s="2"/>
      <c r="V312" s="2"/>
      <c r="W312" s="2"/>
      <c r="X312" s="3"/>
      <c r="Y312" s="2"/>
      <c r="Z312" s="2"/>
      <c r="AA312" s="2"/>
      <c r="AB312" s="2"/>
      <c r="AC312" s="2"/>
      <c r="AD312" s="2"/>
      <c r="AE312" s="2"/>
      <c r="AF312" s="2"/>
      <c r="AG312" s="2"/>
      <c r="AH312" s="2"/>
      <c r="AI312" s="2"/>
      <c r="AJ312" s="2"/>
      <c r="AK312" s="2"/>
      <c r="AL312" s="2"/>
    </row>
    <row r="313">
      <c r="A313" s="1"/>
      <c r="B313" s="2"/>
      <c r="C313" s="2"/>
      <c r="D313" s="2"/>
      <c r="E313" s="2"/>
      <c r="F313" s="2"/>
      <c r="G313" s="2"/>
      <c r="H313" s="2"/>
      <c r="I313" s="2"/>
      <c r="J313" s="2"/>
      <c r="K313" s="2"/>
      <c r="L313" s="2"/>
      <c r="M313" s="2"/>
      <c r="N313" s="2"/>
      <c r="O313" s="2"/>
      <c r="P313" s="2"/>
      <c r="Q313" s="2"/>
      <c r="R313" s="2"/>
      <c r="S313" s="2"/>
      <c r="T313" s="2"/>
      <c r="U313" s="2"/>
      <c r="V313" s="2"/>
      <c r="W313" s="2"/>
      <c r="X313" s="3"/>
      <c r="Y313" s="2"/>
      <c r="Z313" s="2"/>
      <c r="AA313" s="2"/>
      <c r="AB313" s="2"/>
      <c r="AC313" s="2"/>
      <c r="AD313" s="2"/>
      <c r="AE313" s="2"/>
      <c r="AF313" s="2"/>
      <c r="AG313" s="2"/>
      <c r="AH313" s="2"/>
      <c r="AI313" s="2"/>
      <c r="AJ313" s="2"/>
      <c r="AK313" s="2"/>
      <c r="AL313" s="2"/>
    </row>
    <row r="314">
      <c r="A314" s="1"/>
      <c r="B314" s="2"/>
      <c r="C314" s="2"/>
      <c r="D314" s="2"/>
      <c r="E314" s="2"/>
      <c r="F314" s="2"/>
      <c r="G314" s="2"/>
      <c r="H314" s="2"/>
      <c r="I314" s="2"/>
      <c r="J314" s="2"/>
      <c r="K314" s="2"/>
      <c r="L314" s="2"/>
      <c r="M314" s="2"/>
      <c r="N314" s="2"/>
      <c r="O314" s="2"/>
      <c r="P314" s="2"/>
      <c r="Q314" s="2"/>
      <c r="R314" s="2"/>
      <c r="S314" s="2"/>
      <c r="T314" s="2"/>
      <c r="U314" s="2"/>
      <c r="V314" s="2"/>
      <c r="W314" s="2"/>
      <c r="X314" s="3"/>
      <c r="Y314" s="2"/>
      <c r="Z314" s="2"/>
      <c r="AA314" s="2"/>
      <c r="AB314" s="2"/>
      <c r="AC314" s="2"/>
      <c r="AD314" s="2"/>
      <c r="AE314" s="2"/>
      <c r="AF314" s="2"/>
      <c r="AG314" s="2"/>
      <c r="AH314" s="2"/>
      <c r="AI314" s="2"/>
      <c r="AJ314" s="2"/>
      <c r="AK314" s="2"/>
      <c r="AL314" s="2"/>
    </row>
    <row r="315">
      <c r="A315" s="1"/>
      <c r="B315" s="2"/>
      <c r="C315" s="2"/>
      <c r="D315" s="2"/>
      <c r="E315" s="2"/>
      <c r="F315" s="2"/>
      <c r="G315" s="2"/>
      <c r="H315" s="2"/>
      <c r="I315" s="2"/>
      <c r="J315" s="2"/>
      <c r="K315" s="2"/>
      <c r="L315" s="2"/>
      <c r="M315" s="2"/>
      <c r="N315" s="2"/>
      <c r="O315" s="2"/>
      <c r="P315" s="2"/>
      <c r="Q315" s="2"/>
      <c r="R315" s="2"/>
      <c r="S315" s="2"/>
      <c r="T315" s="2"/>
      <c r="U315" s="2"/>
      <c r="V315" s="2"/>
      <c r="W315" s="2"/>
      <c r="X315" s="3"/>
      <c r="Y315" s="2"/>
      <c r="Z315" s="2"/>
      <c r="AA315" s="2"/>
      <c r="AB315" s="2"/>
      <c r="AC315" s="2"/>
      <c r="AD315" s="2"/>
      <c r="AE315" s="2"/>
      <c r="AF315" s="2"/>
      <c r="AG315" s="2"/>
      <c r="AH315" s="2"/>
      <c r="AI315" s="2"/>
      <c r="AJ315" s="2"/>
      <c r="AK315" s="2"/>
      <c r="AL315" s="2"/>
    </row>
    <row r="316">
      <c r="A316" s="1"/>
      <c r="B316" s="2"/>
      <c r="C316" s="2"/>
      <c r="D316" s="2"/>
      <c r="E316" s="2"/>
      <c r="F316" s="2"/>
      <c r="G316" s="2"/>
      <c r="H316" s="2"/>
      <c r="I316" s="2"/>
      <c r="J316" s="2"/>
      <c r="K316" s="2"/>
      <c r="L316" s="2"/>
      <c r="M316" s="2"/>
      <c r="N316" s="2"/>
      <c r="O316" s="2"/>
      <c r="P316" s="2"/>
      <c r="Q316" s="2"/>
      <c r="R316" s="2"/>
      <c r="S316" s="2"/>
      <c r="T316" s="2"/>
      <c r="U316" s="2"/>
      <c r="V316" s="2"/>
      <c r="W316" s="2"/>
      <c r="X316" s="3"/>
      <c r="Y316" s="2"/>
      <c r="Z316" s="2"/>
      <c r="AA316" s="2"/>
      <c r="AB316" s="2"/>
      <c r="AC316" s="2"/>
      <c r="AD316" s="2"/>
      <c r="AE316" s="2"/>
      <c r="AF316" s="2"/>
      <c r="AG316" s="2"/>
      <c r="AH316" s="2"/>
      <c r="AI316" s="2"/>
      <c r="AJ316" s="2"/>
      <c r="AK316" s="2"/>
      <c r="AL316" s="2"/>
    </row>
    <row r="317">
      <c r="A317" s="1"/>
      <c r="B317" s="2"/>
      <c r="C317" s="2"/>
      <c r="D317" s="2"/>
      <c r="E317" s="2"/>
      <c r="F317" s="2"/>
      <c r="G317" s="2"/>
      <c r="H317" s="2"/>
      <c r="I317" s="2"/>
      <c r="J317" s="2"/>
      <c r="K317" s="2"/>
      <c r="L317" s="2"/>
      <c r="M317" s="2"/>
      <c r="N317" s="2"/>
      <c r="O317" s="2"/>
      <c r="P317" s="2"/>
      <c r="Q317" s="2"/>
      <c r="R317" s="2"/>
      <c r="S317" s="2"/>
      <c r="T317" s="2"/>
      <c r="U317" s="2"/>
      <c r="V317" s="2"/>
      <c r="W317" s="2"/>
      <c r="X317" s="3"/>
      <c r="Y317" s="2"/>
      <c r="Z317" s="2"/>
      <c r="AA317" s="2"/>
      <c r="AB317" s="2"/>
      <c r="AC317" s="2"/>
      <c r="AD317" s="2"/>
      <c r="AE317" s="2"/>
      <c r="AF317" s="2"/>
      <c r="AG317" s="2"/>
      <c r="AH317" s="2"/>
      <c r="AI317" s="2"/>
      <c r="AJ317" s="2"/>
      <c r="AK317" s="2"/>
      <c r="AL317" s="2"/>
    </row>
    <row r="318">
      <c r="A318" s="1"/>
      <c r="B318" s="2"/>
      <c r="C318" s="2"/>
      <c r="D318" s="2"/>
      <c r="E318" s="2"/>
      <c r="F318" s="2"/>
      <c r="G318" s="2"/>
      <c r="H318" s="2"/>
      <c r="I318" s="2"/>
      <c r="J318" s="2"/>
      <c r="K318" s="2"/>
      <c r="L318" s="2"/>
      <c r="M318" s="2"/>
      <c r="N318" s="2"/>
      <c r="O318" s="2"/>
      <c r="P318" s="2"/>
      <c r="Q318" s="2"/>
      <c r="R318" s="2"/>
      <c r="S318" s="2"/>
      <c r="T318" s="2"/>
      <c r="U318" s="2"/>
      <c r="V318" s="2"/>
      <c r="W318" s="2"/>
      <c r="X318" s="3"/>
      <c r="Y318" s="2"/>
      <c r="Z318" s="2"/>
      <c r="AA318" s="2"/>
      <c r="AB318" s="2"/>
      <c r="AC318" s="2"/>
      <c r="AD318" s="2"/>
      <c r="AE318" s="2"/>
      <c r="AF318" s="2"/>
      <c r="AG318" s="2"/>
      <c r="AH318" s="2"/>
      <c r="AI318" s="2"/>
      <c r="AJ318" s="2"/>
      <c r="AK318" s="2"/>
      <c r="AL318" s="2"/>
    </row>
    <row r="319">
      <c r="A319" s="1"/>
      <c r="B319" s="2"/>
      <c r="C319" s="2"/>
      <c r="D319" s="2"/>
      <c r="E319" s="2"/>
      <c r="F319" s="2"/>
      <c r="G319" s="2"/>
      <c r="H319" s="2"/>
      <c r="I319" s="2"/>
      <c r="J319" s="2"/>
      <c r="K319" s="2"/>
      <c r="L319" s="2"/>
      <c r="M319" s="2"/>
      <c r="N319" s="2"/>
      <c r="O319" s="2"/>
      <c r="P319" s="2"/>
      <c r="Q319" s="2"/>
      <c r="R319" s="2"/>
      <c r="S319" s="2"/>
      <c r="T319" s="2"/>
      <c r="U319" s="2"/>
      <c r="V319" s="2"/>
      <c r="W319" s="2"/>
      <c r="X319" s="3"/>
      <c r="Y319" s="2"/>
      <c r="Z319" s="2"/>
      <c r="AA319" s="2"/>
      <c r="AB319" s="2"/>
      <c r="AC319" s="2"/>
      <c r="AD319" s="2"/>
      <c r="AE319" s="2"/>
      <c r="AF319" s="2"/>
      <c r="AG319" s="2"/>
      <c r="AH319" s="2"/>
      <c r="AI319" s="2"/>
      <c r="AJ319" s="2"/>
      <c r="AK319" s="2"/>
      <c r="AL319" s="2"/>
    </row>
    <row r="320">
      <c r="A320" s="1"/>
      <c r="B320" s="2"/>
      <c r="C320" s="2"/>
      <c r="D320" s="2"/>
      <c r="E320" s="2"/>
      <c r="F320" s="2"/>
      <c r="G320" s="2"/>
      <c r="H320" s="2"/>
      <c r="I320" s="2"/>
      <c r="J320" s="2"/>
      <c r="K320" s="2"/>
      <c r="L320" s="2"/>
      <c r="M320" s="2"/>
      <c r="N320" s="2"/>
      <c r="O320" s="2"/>
      <c r="P320" s="2"/>
      <c r="Q320" s="2"/>
      <c r="R320" s="2"/>
      <c r="S320" s="2"/>
      <c r="T320" s="2"/>
      <c r="U320" s="2"/>
      <c r="V320" s="2"/>
      <c r="W320" s="2"/>
      <c r="X320" s="3"/>
      <c r="Y320" s="2"/>
      <c r="Z320" s="2"/>
      <c r="AA320" s="2"/>
      <c r="AB320" s="2"/>
      <c r="AC320" s="2"/>
      <c r="AD320" s="2"/>
      <c r="AE320" s="2"/>
      <c r="AF320" s="2"/>
      <c r="AG320" s="2"/>
      <c r="AH320" s="2"/>
      <c r="AI320" s="2"/>
      <c r="AJ320" s="2"/>
      <c r="AK320" s="2"/>
      <c r="AL320" s="2"/>
    </row>
    <row r="321">
      <c r="A321" s="1"/>
      <c r="B321" s="2"/>
      <c r="C321" s="2"/>
      <c r="D321" s="2"/>
      <c r="E321" s="2"/>
      <c r="F321" s="2"/>
      <c r="G321" s="2"/>
      <c r="H321" s="2"/>
      <c r="I321" s="2"/>
      <c r="J321" s="2"/>
      <c r="K321" s="2"/>
      <c r="L321" s="2"/>
      <c r="M321" s="2"/>
      <c r="N321" s="2"/>
      <c r="O321" s="2"/>
      <c r="P321" s="2"/>
      <c r="Q321" s="2"/>
      <c r="R321" s="2"/>
      <c r="S321" s="2"/>
      <c r="T321" s="2"/>
      <c r="U321" s="2"/>
      <c r="V321" s="2"/>
      <c r="W321" s="2"/>
      <c r="X321" s="3"/>
      <c r="Y321" s="2"/>
      <c r="Z321" s="2"/>
      <c r="AA321" s="2"/>
      <c r="AB321" s="2"/>
      <c r="AC321" s="2"/>
      <c r="AD321" s="2"/>
      <c r="AE321" s="2"/>
      <c r="AF321" s="2"/>
      <c r="AG321" s="2"/>
      <c r="AH321" s="2"/>
      <c r="AI321" s="2"/>
      <c r="AJ321" s="2"/>
      <c r="AK321" s="2"/>
      <c r="AL321" s="2"/>
    </row>
    <row r="322">
      <c r="A322" s="1"/>
      <c r="B322" s="2"/>
      <c r="C322" s="2"/>
      <c r="D322" s="2"/>
      <c r="E322" s="2"/>
      <c r="F322" s="2"/>
      <c r="G322" s="2"/>
      <c r="H322" s="2"/>
      <c r="I322" s="2"/>
      <c r="J322" s="2"/>
      <c r="K322" s="2"/>
      <c r="L322" s="2"/>
      <c r="M322" s="2"/>
      <c r="N322" s="2"/>
      <c r="O322" s="2"/>
      <c r="P322" s="2"/>
      <c r="Q322" s="2"/>
      <c r="R322" s="2"/>
      <c r="S322" s="2"/>
      <c r="T322" s="2"/>
      <c r="U322" s="2"/>
      <c r="V322" s="2"/>
      <c r="W322" s="2"/>
      <c r="X322" s="3"/>
      <c r="Y322" s="2"/>
      <c r="Z322" s="2"/>
      <c r="AA322" s="2"/>
      <c r="AB322" s="2"/>
      <c r="AC322" s="2"/>
      <c r="AD322" s="2"/>
      <c r="AE322" s="2"/>
      <c r="AF322" s="2"/>
      <c r="AG322" s="2"/>
      <c r="AH322" s="2"/>
      <c r="AI322" s="2"/>
      <c r="AJ322" s="2"/>
      <c r="AK322" s="2"/>
      <c r="AL322" s="2"/>
    </row>
    <row r="323">
      <c r="A323" s="1"/>
      <c r="B323" s="2"/>
      <c r="C323" s="2"/>
      <c r="D323" s="2"/>
      <c r="E323" s="2"/>
      <c r="F323" s="2"/>
      <c r="G323" s="2"/>
      <c r="H323" s="2"/>
      <c r="I323" s="2"/>
      <c r="J323" s="2"/>
      <c r="K323" s="2"/>
      <c r="L323" s="2"/>
      <c r="M323" s="2"/>
      <c r="N323" s="2"/>
      <c r="O323" s="2"/>
      <c r="P323" s="2"/>
      <c r="Q323" s="2"/>
      <c r="R323" s="2"/>
      <c r="S323" s="2"/>
      <c r="T323" s="2"/>
      <c r="U323" s="2"/>
      <c r="V323" s="2"/>
      <c r="W323" s="2"/>
      <c r="X323" s="3"/>
      <c r="Y323" s="2"/>
      <c r="Z323" s="2"/>
      <c r="AA323" s="2"/>
      <c r="AB323" s="2"/>
      <c r="AC323" s="2"/>
      <c r="AD323" s="2"/>
      <c r="AE323" s="2"/>
      <c r="AF323" s="2"/>
      <c r="AG323" s="2"/>
      <c r="AH323" s="2"/>
      <c r="AI323" s="2"/>
      <c r="AJ323" s="2"/>
      <c r="AK323" s="2"/>
      <c r="AL323" s="2"/>
    </row>
    <row r="324">
      <c r="A324" s="1"/>
      <c r="B324" s="2"/>
      <c r="C324" s="2"/>
      <c r="D324" s="2"/>
      <c r="E324" s="2"/>
      <c r="F324" s="2"/>
      <c r="G324" s="2"/>
      <c r="H324" s="2"/>
      <c r="I324" s="2"/>
      <c r="J324" s="2"/>
      <c r="K324" s="2"/>
      <c r="L324" s="2"/>
      <c r="M324" s="2"/>
      <c r="N324" s="2"/>
      <c r="O324" s="2"/>
      <c r="P324" s="2"/>
      <c r="Q324" s="2"/>
      <c r="R324" s="2"/>
      <c r="S324" s="2"/>
      <c r="T324" s="2"/>
      <c r="U324" s="2"/>
      <c r="V324" s="2"/>
      <c r="W324" s="2"/>
      <c r="X324" s="3"/>
      <c r="Y324" s="2"/>
      <c r="Z324" s="2"/>
      <c r="AA324" s="2"/>
      <c r="AB324" s="2"/>
      <c r="AC324" s="2"/>
      <c r="AD324" s="2"/>
      <c r="AE324" s="2"/>
      <c r="AF324" s="2"/>
      <c r="AG324" s="2"/>
      <c r="AH324" s="2"/>
      <c r="AI324" s="2"/>
      <c r="AJ324" s="2"/>
      <c r="AK324" s="2"/>
      <c r="AL324" s="2"/>
    </row>
    <row r="325">
      <c r="A325" s="1"/>
      <c r="B325" s="2"/>
      <c r="C325" s="2"/>
      <c r="D325" s="2"/>
      <c r="E325" s="2"/>
      <c r="F325" s="2"/>
      <c r="G325" s="2"/>
      <c r="H325" s="2"/>
      <c r="I325" s="2"/>
      <c r="J325" s="2"/>
      <c r="K325" s="2"/>
      <c r="L325" s="2"/>
      <c r="M325" s="2"/>
      <c r="N325" s="2"/>
      <c r="O325" s="2"/>
      <c r="P325" s="2"/>
      <c r="Q325" s="2"/>
      <c r="R325" s="2"/>
      <c r="S325" s="2"/>
      <c r="T325" s="2"/>
      <c r="U325" s="2"/>
      <c r="V325" s="2"/>
      <c r="W325" s="2"/>
      <c r="X325" s="3"/>
      <c r="Y325" s="2"/>
      <c r="Z325" s="2"/>
      <c r="AA325" s="2"/>
      <c r="AB325" s="2"/>
      <c r="AC325" s="2"/>
      <c r="AD325" s="2"/>
      <c r="AE325" s="2"/>
      <c r="AF325" s="2"/>
      <c r="AG325" s="2"/>
      <c r="AH325" s="2"/>
      <c r="AI325" s="2"/>
      <c r="AJ325" s="2"/>
      <c r="AK325" s="2"/>
      <c r="AL325" s="2"/>
    </row>
    <row r="326">
      <c r="A326" s="1"/>
      <c r="B326" s="2"/>
      <c r="C326" s="2"/>
      <c r="D326" s="2"/>
      <c r="E326" s="2"/>
      <c r="F326" s="2"/>
      <c r="G326" s="2"/>
      <c r="H326" s="2"/>
      <c r="I326" s="2"/>
      <c r="J326" s="2"/>
      <c r="K326" s="2"/>
      <c r="L326" s="2"/>
      <c r="M326" s="2"/>
      <c r="N326" s="2"/>
      <c r="O326" s="2"/>
      <c r="P326" s="2"/>
      <c r="Q326" s="2"/>
      <c r="R326" s="2"/>
      <c r="S326" s="2"/>
      <c r="T326" s="2"/>
      <c r="U326" s="2"/>
      <c r="V326" s="2"/>
      <c r="W326" s="2"/>
      <c r="X326" s="3"/>
      <c r="Y326" s="2"/>
      <c r="Z326" s="2"/>
      <c r="AA326" s="2"/>
      <c r="AB326" s="2"/>
      <c r="AC326" s="2"/>
      <c r="AD326" s="2"/>
      <c r="AE326" s="2"/>
      <c r="AF326" s="2"/>
      <c r="AG326" s="2"/>
      <c r="AH326" s="2"/>
      <c r="AI326" s="2"/>
      <c r="AJ326" s="2"/>
      <c r="AK326" s="2"/>
      <c r="AL326" s="2"/>
    </row>
    <row r="327">
      <c r="A327" s="1"/>
      <c r="B327" s="2"/>
      <c r="C327" s="2"/>
      <c r="D327" s="2"/>
      <c r="E327" s="2"/>
      <c r="F327" s="2"/>
      <c r="G327" s="2"/>
      <c r="H327" s="2"/>
      <c r="I327" s="2"/>
      <c r="J327" s="2"/>
      <c r="K327" s="2"/>
      <c r="L327" s="2"/>
      <c r="M327" s="2"/>
      <c r="N327" s="2"/>
      <c r="O327" s="2"/>
      <c r="P327" s="2"/>
      <c r="Q327" s="2"/>
      <c r="R327" s="2"/>
      <c r="S327" s="2"/>
      <c r="T327" s="2"/>
      <c r="U327" s="2"/>
      <c r="V327" s="2"/>
      <c r="W327" s="2"/>
      <c r="X327" s="3"/>
      <c r="Y327" s="2"/>
      <c r="Z327" s="2"/>
      <c r="AA327" s="2"/>
      <c r="AB327" s="2"/>
      <c r="AC327" s="2"/>
      <c r="AD327" s="2"/>
      <c r="AE327" s="2"/>
      <c r="AF327" s="2"/>
      <c r="AG327" s="2"/>
      <c r="AH327" s="2"/>
      <c r="AI327" s="2"/>
      <c r="AJ327" s="2"/>
      <c r="AK327" s="2"/>
      <c r="AL327" s="2"/>
    </row>
    <row r="328">
      <c r="A328" s="1"/>
      <c r="B328" s="2"/>
      <c r="C328" s="2"/>
      <c r="D328" s="2"/>
      <c r="E328" s="2"/>
      <c r="F328" s="2"/>
      <c r="G328" s="2"/>
      <c r="H328" s="2"/>
      <c r="I328" s="2"/>
      <c r="J328" s="2"/>
      <c r="K328" s="2"/>
      <c r="L328" s="2"/>
      <c r="M328" s="2"/>
      <c r="N328" s="2"/>
      <c r="O328" s="2"/>
      <c r="P328" s="2"/>
      <c r="Q328" s="2"/>
      <c r="R328" s="2"/>
      <c r="S328" s="2"/>
      <c r="T328" s="2"/>
      <c r="U328" s="2"/>
      <c r="V328" s="2"/>
      <c r="W328" s="2"/>
      <c r="X328" s="3"/>
      <c r="Y328" s="2"/>
      <c r="Z328" s="2"/>
      <c r="AA328" s="2"/>
      <c r="AB328" s="2"/>
      <c r="AC328" s="2"/>
      <c r="AD328" s="2"/>
      <c r="AE328" s="2"/>
      <c r="AF328" s="2"/>
      <c r="AG328" s="2"/>
      <c r="AH328" s="2"/>
      <c r="AI328" s="2"/>
      <c r="AJ328" s="2"/>
      <c r="AK328" s="2"/>
      <c r="AL328" s="2"/>
    </row>
    <row r="329">
      <c r="A329" s="1"/>
      <c r="B329" s="2"/>
      <c r="C329" s="2"/>
      <c r="D329" s="2"/>
      <c r="E329" s="2"/>
      <c r="F329" s="2"/>
      <c r="G329" s="2"/>
      <c r="H329" s="2"/>
      <c r="I329" s="2"/>
      <c r="J329" s="2"/>
      <c r="K329" s="2"/>
      <c r="L329" s="2"/>
      <c r="M329" s="2"/>
      <c r="N329" s="2"/>
      <c r="O329" s="2"/>
      <c r="P329" s="2"/>
      <c r="Q329" s="2"/>
      <c r="R329" s="2"/>
      <c r="S329" s="2"/>
      <c r="T329" s="2"/>
      <c r="U329" s="2"/>
      <c r="V329" s="2"/>
      <c r="W329" s="2"/>
      <c r="X329" s="3"/>
      <c r="Y329" s="2"/>
      <c r="Z329" s="2"/>
      <c r="AA329" s="2"/>
      <c r="AB329" s="2"/>
      <c r="AC329" s="2"/>
      <c r="AD329" s="2"/>
      <c r="AE329" s="2"/>
      <c r="AF329" s="2"/>
      <c r="AG329" s="2"/>
      <c r="AH329" s="2"/>
      <c r="AI329" s="2"/>
      <c r="AJ329" s="2"/>
      <c r="AK329" s="2"/>
      <c r="AL329" s="2"/>
    </row>
    <row r="330">
      <c r="A330" s="1"/>
      <c r="B330" s="2"/>
      <c r="C330" s="2"/>
      <c r="D330" s="2"/>
      <c r="E330" s="2"/>
      <c r="F330" s="2"/>
      <c r="G330" s="2"/>
      <c r="H330" s="2"/>
      <c r="I330" s="2"/>
      <c r="J330" s="2"/>
      <c r="K330" s="2"/>
      <c r="L330" s="2"/>
      <c r="M330" s="2"/>
      <c r="N330" s="2"/>
      <c r="O330" s="2"/>
      <c r="P330" s="2"/>
      <c r="Q330" s="2"/>
      <c r="R330" s="2"/>
      <c r="S330" s="2"/>
      <c r="T330" s="2"/>
      <c r="U330" s="2"/>
      <c r="V330" s="2"/>
      <c r="W330" s="2"/>
      <c r="X330" s="3"/>
      <c r="Y330" s="2"/>
      <c r="Z330" s="2"/>
      <c r="AA330" s="2"/>
      <c r="AB330" s="2"/>
      <c r="AC330" s="2"/>
      <c r="AD330" s="2"/>
      <c r="AE330" s="2"/>
      <c r="AF330" s="2"/>
      <c r="AG330" s="2"/>
      <c r="AH330" s="2"/>
      <c r="AI330" s="2"/>
      <c r="AJ330" s="2"/>
      <c r="AK330" s="2"/>
      <c r="AL330" s="2"/>
    </row>
    <row r="331">
      <c r="A331" s="1"/>
      <c r="B331" s="2"/>
      <c r="C331" s="2"/>
      <c r="D331" s="2"/>
      <c r="E331" s="2"/>
      <c r="F331" s="2"/>
      <c r="G331" s="2"/>
      <c r="H331" s="2"/>
      <c r="I331" s="2"/>
      <c r="J331" s="2"/>
      <c r="K331" s="2"/>
      <c r="L331" s="2"/>
      <c r="M331" s="2"/>
      <c r="N331" s="2"/>
      <c r="O331" s="2"/>
      <c r="P331" s="2"/>
      <c r="Q331" s="2"/>
      <c r="R331" s="2"/>
      <c r="S331" s="2"/>
      <c r="T331" s="2"/>
      <c r="U331" s="2"/>
      <c r="V331" s="2"/>
      <c r="W331" s="2"/>
      <c r="X331" s="3"/>
      <c r="Y331" s="2"/>
      <c r="Z331" s="2"/>
      <c r="AA331" s="2"/>
      <c r="AB331" s="2"/>
      <c r="AC331" s="2"/>
      <c r="AD331" s="2"/>
      <c r="AE331" s="2"/>
      <c r="AF331" s="2"/>
      <c r="AG331" s="2"/>
      <c r="AH331" s="2"/>
      <c r="AI331" s="2"/>
      <c r="AJ331" s="2"/>
      <c r="AK331" s="2"/>
      <c r="AL331" s="2"/>
    </row>
    <row r="332">
      <c r="A332" s="1"/>
      <c r="B332" s="2"/>
      <c r="C332" s="2"/>
      <c r="D332" s="2"/>
      <c r="E332" s="2"/>
      <c r="F332" s="2"/>
      <c r="G332" s="2"/>
      <c r="H332" s="2"/>
      <c r="I332" s="2"/>
      <c r="J332" s="2"/>
      <c r="K332" s="2"/>
      <c r="L332" s="2"/>
      <c r="M332" s="2"/>
      <c r="N332" s="2"/>
      <c r="O332" s="2"/>
      <c r="P332" s="2"/>
      <c r="Q332" s="2"/>
      <c r="R332" s="2"/>
      <c r="S332" s="2"/>
      <c r="T332" s="2"/>
      <c r="U332" s="2"/>
      <c r="V332" s="2"/>
      <c r="W332" s="2"/>
      <c r="X332" s="3"/>
      <c r="Y332" s="2"/>
      <c r="Z332" s="2"/>
      <c r="AA332" s="2"/>
      <c r="AB332" s="2"/>
      <c r="AC332" s="2"/>
      <c r="AD332" s="2"/>
      <c r="AE332" s="2"/>
      <c r="AF332" s="2"/>
      <c r="AG332" s="2"/>
      <c r="AH332" s="2"/>
      <c r="AI332" s="2"/>
      <c r="AJ332" s="2"/>
      <c r="AK332" s="2"/>
      <c r="AL332" s="2"/>
    </row>
    <row r="333">
      <c r="A333" s="1"/>
      <c r="B333" s="2"/>
      <c r="C333" s="2"/>
      <c r="D333" s="2"/>
      <c r="E333" s="2"/>
      <c r="F333" s="2"/>
      <c r="G333" s="2"/>
      <c r="H333" s="2"/>
      <c r="I333" s="2"/>
      <c r="J333" s="2"/>
      <c r="K333" s="2"/>
      <c r="L333" s="2"/>
      <c r="M333" s="2"/>
      <c r="N333" s="2"/>
      <c r="O333" s="2"/>
      <c r="P333" s="2"/>
      <c r="Q333" s="2"/>
      <c r="R333" s="2"/>
      <c r="S333" s="2"/>
      <c r="T333" s="2"/>
      <c r="U333" s="2"/>
      <c r="V333" s="2"/>
      <c r="W333" s="2"/>
      <c r="X333" s="3"/>
      <c r="Y333" s="2"/>
      <c r="Z333" s="2"/>
      <c r="AA333" s="2"/>
      <c r="AB333" s="2"/>
      <c r="AC333" s="2"/>
      <c r="AD333" s="2"/>
      <c r="AE333" s="2"/>
      <c r="AF333" s="2"/>
      <c r="AG333" s="2"/>
      <c r="AH333" s="2"/>
      <c r="AI333" s="2"/>
      <c r="AJ333" s="2"/>
      <c r="AK333" s="2"/>
      <c r="AL333" s="2"/>
    </row>
    <row r="334">
      <c r="A334" s="1"/>
      <c r="B334" s="2"/>
      <c r="C334" s="2"/>
      <c r="D334" s="2"/>
      <c r="E334" s="2"/>
      <c r="F334" s="2"/>
      <c r="G334" s="2"/>
      <c r="H334" s="2"/>
      <c r="I334" s="2"/>
      <c r="J334" s="2"/>
      <c r="K334" s="2"/>
      <c r="L334" s="2"/>
      <c r="M334" s="2"/>
      <c r="N334" s="2"/>
      <c r="O334" s="2"/>
      <c r="P334" s="2"/>
      <c r="Q334" s="2"/>
      <c r="R334" s="2"/>
      <c r="S334" s="2"/>
      <c r="T334" s="2"/>
      <c r="U334" s="2"/>
      <c r="V334" s="2"/>
      <c r="W334" s="2"/>
      <c r="X334" s="3"/>
      <c r="Y334" s="2"/>
      <c r="Z334" s="2"/>
      <c r="AA334" s="2"/>
      <c r="AB334" s="2"/>
      <c r="AC334" s="2"/>
      <c r="AD334" s="2"/>
      <c r="AE334" s="2"/>
      <c r="AF334" s="2"/>
      <c r="AG334" s="2"/>
      <c r="AH334" s="2"/>
      <c r="AI334" s="2"/>
      <c r="AJ334" s="2"/>
      <c r="AK334" s="2"/>
      <c r="AL334" s="2"/>
    </row>
    <row r="335">
      <c r="A335" s="1"/>
      <c r="B335" s="2"/>
      <c r="C335" s="2"/>
      <c r="D335" s="2"/>
      <c r="E335" s="2"/>
      <c r="F335" s="2"/>
      <c r="G335" s="2"/>
      <c r="H335" s="2"/>
      <c r="I335" s="2"/>
      <c r="J335" s="2"/>
      <c r="K335" s="2"/>
      <c r="L335" s="2"/>
      <c r="M335" s="2"/>
      <c r="N335" s="2"/>
      <c r="O335" s="2"/>
      <c r="P335" s="2"/>
      <c r="Q335" s="2"/>
      <c r="R335" s="2"/>
      <c r="S335" s="2"/>
      <c r="T335" s="2"/>
      <c r="U335" s="2"/>
      <c r="V335" s="2"/>
      <c r="W335" s="2"/>
      <c r="X335" s="3"/>
      <c r="Y335" s="2"/>
      <c r="Z335" s="2"/>
      <c r="AA335" s="2"/>
      <c r="AB335" s="2"/>
      <c r="AC335" s="2"/>
      <c r="AD335" s="2"/>
      <c r="AE335" s="2"/>
      <c r="AF335" s="2"/>
      <c r="AG335" s="2"/>
      <c r="AH335" s="2"/>
      <c r="AI335" s="2"/>
      <c r="AJ335" s="2"/>
      <c r="AK335" s="2"/>
      <c r="AL335" s="2"/>
    </row>
    <row r="336">
      <c r="A336" s="1"/>
      <c r="B336" s="2"/>
      <c r="C336" s="2"/>
      <c r="D336" s="2"/>
      <c r="E336" s="2"/>
      <c r="F336" s="2"/>
      <c r="G336" s="2"/>
      <c r="H336" s="2"/>
      <c r="I336" s="2"/>
      <c r="J336" s="2"/>
      <c r="K336" s="2"/>
      <c r="L336" s="2"/>
      <c r="M336" s="2"/>
      <c r="N336" s="2"/>
      <c r="O336" s="2"/>
      <c r="P336" s="2"/>
      <c r="Q336" s="2"/>
      <c r="R336" s="2"/>
      <c r="S336" s="2"/>
      <c r="T336" s="2"/>
      <c r="U336" s="2"/>
      <c r="V336" s="2"/>
      <c r="W336" s="2"/>
      <c r="X336" s="3"/>
      <c r="Y336" s="2"/>
      <c r="Z336" s="2"/>
      <c r="AA336" s="2"/>
      <c r="AB336" s="2"/>
      <c r="AC336" s="2"/>
      <c r="AD336" s="2"/>
      <c r="AE336" s="2"/>
      <c r="AF336" s="2"/>
      <c r="AG336" s="2"/>
      <c r="AH336" s="2"/>
      <c r="AI336" s="2"/>
      <c r="AJ336" s="2"/>
      <c r="AK336" s="2"/>
      <c r="AL336" s="2"/>
    </row>
    <row r="337">
      <c r="A337" s="1"/>
      <c r="B337" s="2"/>
      <c r="C337" s="2"/>
      <c r="D337" s="2"/>
      <c r="E337" s="2"/>
      <c r="F337" s="2"/>
      <c r="G337" s="2"/>
      <c r="H337" s="2"/>
      <c r="I337" s="2"/>
      <c r="J337" s="2"/>
      <c r="K337" s="2"/>
      <c r="L337" s="2"/>
      <c r="M337" s="2"/>
      <c r="N337" s="2"/>
      <c r="O337" s="2"/>
      <c r="P337" s="2"/>
      <c r="Q337" s="2"/>
      <c r="R337" s="2"/>
      <c r="S337" s="2"/>
      <c r="T337" s="2"/>
      <c r="U337" s="2"/>
      <c r="V337" s="2"/>
      <c r="W337" s="2"/>
      <c r="X337" s="3"/>
      <c r="Y337" s="2"/>
      <c r="Z337" s="2"/>
      <c r="AA337" s="2"/>
      <c r="AB337" s="2"/>
      <c r="AC337" s="2"/>
      <c r="AD337" s="2"/>
      <c r="AE337" s="2"/>
      <c r="AF337" s="2"/>
      <c r="AG337" s="2"/>
      <c r="AH337" s="2"/>
      <c r="AI337" s="2"/>
      <c r="AJ337" s="2"/>
      <c r="AK337" s="2"/>
      <c r="AL337" s="2"/>
    </row>
    <row r="338">
      <c r="A338" s="1"/>
      <c r="B338" s="2"/>
      <c r="C338" s="2"/>
      <c r="D338" s="2"/>
      <c r="E338" s="2"/>
      <c r="F338" s="2"/>
      <c r="G338" s="2"/>
      <c r="H338" s="2"/>
      <c r="I338" s="2"/>
      <c r="J338" s="2"/>
      <c r="K338" s="2"/>
      <c r="L338" s="2"/>
      <c r="M338" s="2"/>
      <c r="N338" s="2"/>
      <c r="O338" s="2"/>
      <c r="P338" s="2"/>
      <c r="Q338" s="2"/>
      <c r="R338" s="2"/>
      <c r="S338" s="2"/>
      <c r="T338" s="2"/>
      <c r="U338" s="2"/>
      <c r="V338" s="2"/>
      <c r="W338" s="2"/>
      <c r="X338" s="3"/>
      <c r="Y338" s="2"/>
      <c r="Z338" s="2"/>
      <c r="AA338" s="2"/>
      <c r="AB338" s="2"/>
      <c r="AC338" s="2"/>
      <c r="AD338" s="2"/>
      <c r="AE338" s="2"/>
      <c r="AF338" s="2"/>
      <c r="AG338" s="2"/>
      <c r="AH338" s="2"/>
      <c r="AI338" s="2"/>
      <c r="AJ338" s="2"/>
      <c r="AK338" s="2"/>
      <c r="AL338" s="2"/>
    </row>
    <row r="339">
      <c r="A339" s="1"/>
      <c r="B339" s="2"/>
      <c r="C339" s="2"/>
      <c r="D339" s="2"/>
      <c r="E339" s="2"/>
      <c r="F339" s="2"/>
      <c r="G339" s="2"/>
      <c r="H339" s="2"/>
      <c r="I339" s="2"/>
      <c r="J339" s="2"/>
      <c r="K339" s="2"/>
      <c r="L339" s="2"/>
      <c r="M339" s="2"/>
      <c r="N339" s="2"/>
      <c r="O339" s="2"/>
      <c r="P339" s="2"/>
      <c r="Q339" s="2"/>
      <c r="R339" s="2"/>
      <c r="S339" s="2"/>
      <c r="T339" s="2"/>
      <c r="U339" s="2"/>
      <c r="V339" s="2"/>
      <c r="W339" s="2"/>
      <c r="X339" s="3"/>
      <c r="Y339" s="2"/>
      <c r="Z339" s="2"/>
      <c r="AA339" s="2"/>
      <c r="AB339" s="2"/>
      <c r="AC339" s="2"/>
      <c r="AD339" s="2"/>
      <c r="AE339" s="2"/>
      <c r="AF339" s="2"/>
      <c r="AG339" s="2"/>
      <c r="AH339" s="2"/>
      <c r="AI339" s="2"/>
      <c r="AJ339" s="2"/>
      <c r="AK339" s="2"/>
      <c r="AL339" s="2"/>
    </row>
    <row r="340">
      <c r="A340" s="1"/>
      <c r="B340" s="2"/>
      <c r="C340" s="2"/>
      <c r="D340" s="2"/>
      <c r="E340" s="2"/>
      <c r="F340" s="2"/>
      <c r="G340" s="2"/>
      <c r="H340" s="2"/>
      <c r="I340" s="2"/>
      <c r="J340" s="2"/>
      <c r="K340" s="2"/>
      <c r="L340" s="2"/>
      <c r="M340" s="2"/>
      <c r="N340" s="2"/>
      <c r="O340" s="2"/>
      <c r="P340" s="2"/>
      <c r="Q340" s="2"/>
      <c r="R340" s="2"/>
      <c r="S340" s="2"/>
      <c r="T340" s="2"/>
      <c r="U340" s="2"/>
      <c r="V340" s="2"/>
      <c r="W340" s="2"/>
      <c r="X340" s="3"/>
      <c r="Y340" s="2"/>
      <c r="Z340" s="2"/>
      <c r="AA340" s="2"/>
      <c r="AB340" s="2"/>
      <c r="AC340" s="2"/>
      <c r="AD340" s="2"/>
      <c r="AE340" s="2"/>
      <c r="AF340" s="2"/>
      <c r="AG340" s="2"/>
      <c r="AH340" s="2"/>
      <c r="AI340" s="2"/>
      <c r="AJ340" s="2"/>
      <c r="AK340" s="2"/>
      <c r="AL340" s="2"/>
    </row>
    <row r="341">
      <c r="A341" s="1"/>
      <c r="B341" s="2"/>
      <c r="C341" s="2"/>
      <c r="D341" s="2"/>
      <c r="E341" s="2"/>
      <c r="F341" s="2"/>
      <c r="G341" s="2"/>
      <c r="H341" s="2"/>
      <c r="I341" s="2"/>
      <c r="J341" s="2"/>
      <c r="K341" s="2"/>
      <c r="L341" s="2"/>
      <c r="M341" s="2"/>
      <c r="N341" s="2"/>
      <c r="O341" s="2"/>
      <c r="P341" s="2"/>
      <c r="Q341" s="2"/>
      <c r="R341" s="2"/>
      <c r="S341" s="2"/>
      <c r="T341" s="2"/>
      <c r="U341" s="2"/>
      <c r="V341" s="2"/>
      <c r="W341" s="2"/>
      <c r="X341" s="3"/>
      <c r="Y341" s="2"/>
      <c r="Z341" s="2"/>
      <c r="AA341" s="2"/>
      <c r="AB341" s="2"/>
      <c r="AC341" s="2"/>
      <c r="AD341" s="2"/>
      <c r="AE341" s="2"/>
      <c r="AF341" s="2"/>
      <c r="AG341" s="2"/>
      <c r="AH341" s="2"/>
      <c r="AI341" s="2"/>
      <c r="AJ341" s="2"/>
      <c r="AK341" s="2"/>
      <c r="AL341" s="2"/>
    </row>
    <row r="342">
      <c r="A342" s="1"/>
      <c r="B342" s="2"/>
      <c r="C342" s="2"/>
      <c r="D342" s="2"/>
      <c r="E342" s="2"/>
      <c r="F342" s="2"/>
      <c r="G342" s="2"/>
      <c r="H342" s="2"/>
      <c r="I342" s="2"/>
      <c r="J342" s="2"/>
      <c r="K342" s="2"/>
      <c r="L342" s="2"/>
      <c r="M342" s="2"/>
      <c r="N342" s="2"/>
      <c r="O342" s="2"/>
      <c r="P342" s="2"/>
      <c r="Q342" s="2"/>
      <c r="R342" s="2"/>
      <c r="S342" s="2"/>
      <c r="T342" s="2"/>
      <c r="U342" s="2"/>
      <c r="V342" s="2"/>
      <c r="W342" s="2"/>
      <c r="X342" s="3"/>
      <c r="Y342" s="2"/>
      <c r="Z342" s="2"/>
      <c r="AA342" s="2"/>
      <c r="AB342" s="2"/>
      <c r="AC342" s="2"/>
      <c r="AD342" s="2"/>
      <c r="AE342" s="2"/>
      <c r="AF342" s="2"/>
      <c r="AG342" s="2"/>
      <c r="AH342" s="2"/>
      <c r="AI342" s="2"/>
      <c r="AJ342" s="2"/>
      <c r="AK342" s="2"/>
      <c r="AL342" s="2"/>
    </row>
    <row r="343">
      <c r="A343" s="1"/>
      <c r="B343" s="2"/>
      <c r="C343" s="2"/>
      <c r="D343" s="2"/>
      <c r="E343" s="2"/>
      <c r="F343" s="2"/>
      <c r="G343" s="2"/>
      <c r="H343" s="2"/>
      <c r="I343" s="2"/>
      <c r="J343" s="2"/>
      <c r="K343" s="2"/>
      <c r="L343" s="2"/>
      <c r="M343" s="2"/>
      <c r="N343" s="2"/>
      <c r="O343" s="2"/>
      <c r="P343" s="2"/>
      <c r="Q343" s="2"/>
      <c r="R343" s="2"/>
      <c r="S343" s="2"/>
      <c r="T343" s="2"/>
      <c r="U343" s="2"/>
      <c r="V343" s="2"/>
      <c r="W343" s="2"/>
      <c r="X343" s="3"/>
      <c r="Y343" s="2"/>
      <c r="Z343" s="2"/>
      <c r="AA343" s="2"/>
      <c r="AB343" s="2"/>
      <c r="AC343" s="2"/>
      <c r="AD343" s="2"/>
      <c r="AE343" s="2"/>
      <c r="AF343" s="2"/>
      <c r="AG343" s="2"/>
      <c r="AH343" s="2"/>
      <c r="AI343" s="2"/>
      <c r="AJ343" s="2"/>
      <c r="AK343" s="2"/>
      <c r="AL343" s="2"/>
    </row>
    <row r="344">
      <c r="A344" s="1"/>
      <c r="B344" s="2"/>
      <c r="C344" s="2"/>
      <c r="D344" s="2"/>
      <c r="E344" s="2"/>
      <c r="F344" s="2"/>
      <c r="G344" s="2"/>
      <c r="H344" s="2"/>
      <c r="I344" s="2"/>
      <c r="J344" s="2"/>
      <c r="K344" s="2"/>
      <c r="L344" s="2"/>
      <c r="M344" s="2"/>
      <c r="N344" s="2"/>
      <c r="O344" s="2"/>
      <c r="P344" s="2"/>
      <c r="Q344" s="2"/>
      <c r="R344" s="2"/>
      <c r="S344" s="2"/>
      <c r="T344" s="2"/>
      <c r="U344" s="2"/>
      <c r="V344" s="2"/>
      <c r="W344" s="2"/>
      <c r="X344" s="3"/>
      <c r="Y344" s="2"/>
      <c r="Z344" s="2"/>
      <c r="AA344" s="2"/>
      <c r="AB344" s="2"/>
      <c r="AC344" s="2"/>
      <c r="AD344" s="2"/>
      <c r="AE344" s="2"/>
      <c r="AF344" s="2"/>
      <c r="AG344" s="2"/>
      <c r="AH344" s="2"/>
      <c r="AI344" s="2"/>
      <c r="AJ344" s="2"/>
      <c r="AK344" s="2"/>
      <c r="AL344" s="2"/>
    </row>
    <row r="345">
      <c r="A345" s="1"/>
      <c r="B345" s="2"/>
      <c r="C345" s="2"/>
      <c r="D345" s="2"/>
      <c r="E345" s="2"/>
      <c r="F345" s="2"/>
      <c r="G345" s="2"/>
      <c r="H345" s="2"/>
      <c r="I345" s="2"/>
      <c r="J345" s="2"/>
      <c r="K345" s="2"/>
      <c r="L345" s="2"/>
      <c r="M345" s="2"/>
      <c r="N345" s="2"/>
      <c r="O345" s="2"/>
      <c r="P345" s="2"/>
      <c r="Q345" s="2"/>
      <c r="R345" s="2"/>
      <c r="S345" s="2"/>
      <c r="T345" s="2"/>
      <c r="U345" s="2"/>
      <c r="V345" s="2"/>
      <c r="W345" s="2"/>
      <c r="X345" s="3"/>
      <c r="Y345" s="2"/>
      <c r="Z345" s="2"/>
      <c r="AA345" s="2"/>
      <c r="AB345" s="2"/>
      <c r="AC345" s="2"/>
      <c r="AD345" s="2"/>
      <c r="AE345" s="2"/>
      <c r="AF345" s="2"/>
      <c r="AG345" s="2"/>
      <c r="AH345" s="2"/>
      <c r="AI345" s="2"/>
      <c r="AJ345" s="2"/>
      <c r="AK345" s="2"/>
      <c r="AL345" s="2"/>
    </row>
    <row r="346">
      <c r="A346" s="1"/>
      <c r="B346" s="2"/>
      <c r="C346" s="2"/>
      <c r="D346" s="2"/>
      <c r="E346" s="2"/>
      <c r="F346" s="2"/>
      <c r="G346" s="2"/>
      <c r="H346" s="2"/>
      <c r="I346" s="2"/>
      <c r="J346" s="2"/>
      <c r="K346" s="2"/>
      <c r="L346" s="2"/>
      <c r="M346" s="2"/>
      <c r="N346" s="2"/>
      <c r="O346" s="2"/>
      <c r="P346" s="2"/>
      <c r="Q346" s="2"/>
      <c r="R346" s="2"/>
      <c r="S346" s="2"/>
      <c r="T346" s="2"/>
      <c r="U346" s="2"/>
      <c r="V346" s="2"/>
      <c r="W346" s="2"/>
      <c r="X346" s="3"/>
      <c r="Y346" s="2"/>
      <c r="Z346" s="2"/>
      <c r="AA346" s="2"/>
      <c r="AB346" s="2"/>
      <c r="AC346" s="2"/>
      <c r="AD346" s="2"/>
      <c r="AE346" s="2"/>
      <c r="AF346" s="2"/>
      <c r="AG346" s="2"/>
      <c r="AH346" s="2"/>
      <c r="AI346" s="2"/>
      <c r="AJ346" s="2"/>
      <c r="AK346" s="2"/>
      <c r="AL346" s="2"/>
    </row>
    <row r="347">
      <c r="A347" s="1"/>
      <c r="B347" s="2"/>
      <c r="C347" s="2"/>
      <c r="D347" s="2"/>
      <c r="E347" s="2"/>
      <c r="F347" s="2"/>
      <c r="G347" s="2"/>
      <c r="H347" s="2"/>
      <c r="I347" s="2"/>
      <c r="J347" s="2"/>
      <c r="K347" s="2"/>
      <c r="L347" s="2"/>
      <c r="M347" s="2"/>
      <c r="N347" s="2"/>
      <c r="O347" s="2"/>
      <c r="P347" s="2"/>
      <c r="Q347" s="2"/>
      <c r="R347" s="2"/>
      <c r="S347" s="2"/>
      <c r="T347" s="2"/>
      <c r="U347" s="2"/>
      <c r="V347" s="2"/>
      <c r="W347" s="2"/>
      <c r="X347" s="3"/>
      <c r="Y347" s="2"/>
      <c r="Z347" s="2"/>
      <c r="AA347" s="2"/>
      <c r="AB347" s="2"/>
      <c r="AC347" s="2"/>
      <c r="AD347" s="2"/>
      <c r="AE347" s="2"/>
      <c r="AF347" s="2"/>
      <c r="AG347" s="2"/>
      <c r="AH347" s="2"/>
      <c r="AI347" s="2"/>
      <c r="AJ347" s="2"/>
      <c r="AK347" s="2"/>
      <c r="AL347" s="2"/>
    </row>
    <row r="348">
      <c r="A348" s="1"/>
      <c r="B348" s="2"/>
      <c r="C348" s="2"/>
      <c r="D348" s="2"/>
      <c r="E348" s="2"/>
      <c r="F348" s="2"/>
      <c r="G348" s="2"/>
      <c r="H348" s="2"/>
      <c r="I348" s="2"/>
      <c r="J348" s="2"/>
      <c r="K348" s="2"/>
      <c r="L348" s="2"/>
      <c r="M348" s="2"/>
      <c r="N348" s="2"/>
      <c r="O348" s="2"/>
      <c r="P348" s="2"/>
      <c r="Q348" s="2"/>
      <c r="R348" s="2"/>
      <c r="S348" s="2"/>
      <c r="T348" s="2"/>
      <c r="U348" s="2"/>
      <c r="V348" s="2"/>
      <c r="W348" s="2"/>
      <c r="X348" s="3"/>
      <c r="Y348" s="2"/>
      <c r="Z348" s="2"/>
      <c r="AA348" s="2"/>
      <c r="AB348" s="2"/>
      <c r="AC348" s="2"/>
      <c r="AD348" s="2"/>
      <c r="AE348" s="2"/>
      <c r="AF348" s="2"/>
      <c r="AG348" s="2"/>
      <c r="AH348" s="2"/>
      <c r="AI348" s="2"/>
      <c r="AJ348" s="2"/>
      <c r="AK348" s="2"/>
      <c r="AL348" s="2"/>
    </row>
    <row r="349">
      <c r="A349" s="1"/>
      <c r="B349" s="2"/>
      <c r="C349" s="2"/>
      <c r="D349" s="2"/>
      <c r="E349" s="2"/>
      <c r="F349" s="2"/>
      <c r="G349" s="2"/>
      <c r="H349" s="2"/>
      <c r="I349" s="2"/>
      <c r="J349" s="2"/>
      <c r="K349" s="2"/>
      <c r="L349" s="2"/>
      <c r="M349" s="2"/>
      <c r="N349" s="2"/>
      <c r="O349" s="2"/>
      <c r="P349" s="2"/>
      <c r="Q349" s="2"/>
      <c r="R349" s="2"/>
      <c r="S349" s="2"/>
      <c r="T349" s="2"/>
      <c r="U349" s="2"/>
      <c r="V349" s="2"/>
      <c r="W349" s="2"/>
      <c r="X349" s="3"/>
      <c r="Y349" s="2"/>
      <c r="Z349" s="2"/>
      <c r="AA349" s="2"/>
      <c r="AB349" s="2"/>
      <c r="AC349" s="2"/>
      <c r="AD349" s="2"/>
      <c r="AE349" s="2"/>
      <c r="AF349" s="2"/>
      <c r="AG349" s="2"/>
      <c r="AH349" s="2"/>
      <c r="AI349" s="2"/>
      <c r="AJ349" s="2"/>
      <c r="AK349" s="2"/>
      <c r="AL349" s="2"/>
    </row>
    <row r="350">
      <c r="A350" s="1"/>
      <c r="B350" s="2"/>
      <c r="C350" s="2"/>
      <c r="D350" s="2"/>
      <c r="E350" s="2"/>
      <c r="F350" s="2"/>
      <c r="G350" s="2"/>
      <c r="H350" s="2"/>
      <c r="I350" s="2"/>
      <c r="J350" s="2"/>
      <c r="K350" s="2"/>
      <c r="L350" s="2"/>
      <c r="M350" s="2"/>
      <c r="N350" s="2"/>
      <c r="O350" s="2"/>
      <c r="P350" s="2"/>
      <c r="Q350" s="2"/>
      <c r="R350" s="2"/>
      <c r="S350" s="2"/>
      <c r="T350" s="2"/>
      <c r="U350" s="2"/>
      <c r="V350" s="2"/>
      <c r="W350" s="2"/>
      <c r="X350" s="3"/>
      <c r="Y350" s="2"/>
      <c r="Z350" s="2"/>
      <c r="AA350" s="2"/>
      <c r="AB350" s="2"/>
      <c r="AC350" s="2"/>
      <c r="AD350" s="2"/>
      <c r="AE350" s="2"/>
      <c r="AF350" s="2"/>
      <c r="AG350" s="2"/>
      <c r="AH350" s="2"/>
      <c r="AI350" s="2"/>
      <c r="AJ350" s="2"/>
      <c r="AK350" s="2"/>
      <c r="AL350" s="2"/>
    </row>
    <row r="351">
      <c r="A351" s="1"/>
      <c r="B351" s="2"/>
      <c r="C351" s="2"/>
      <c r="D351" s="2"/>
      <c r="E351" s="2"/>
      <c r="F351" s="2"/>
      <c r="G351" s="2"/>
      <c r="H351" s="2"/>
      <c r="I351" s="2"/>
      <c r="J351" s="2"/>
      <c r="K351" s="2"/>
      <c r="L351" s="2"/>
      <c r="M351" s="2"/>
      <c r="N351" s="2"/>
      <c r="O351" s="2"/>
      <c r="P351" s="2"/>
      <c r="Q351" s="2"/>
      <c r="R351" s="2"/>
      <c r="S351" s="2"/>
      <c r="T351" s="2"/>
      <c r="U351" s="2"/>
      <c r="V351" s="2"/>
      <c r="W351" s="2"/>
      <c r="X351" s="3"/>
      <c r="Y351" s="2"/>
      <c r="Z351" s="2"/>
      <c r="AA351" s="2"/>
      <c r="AB351" s="2"/>
      <c r="AC351" s="2"/>
      <c r="AD351" s="2"/>
      <c r="AE351" s="2"/>
      <c r="AF351" s="2"/>
      <c r="AG351" s="2"/>
      <c r="AH351" s="2"/>
      <c r="AI351" s="2"/>
      <c r="AJ351" s="2"/>
      <c r="AK351" s="2"/>
      <c r="AL351" s="2"/>
    </row>
    <row r="352">
      <c r="A352" s="1"/>
      <c r="B352" s="2"/>
      <c r="C352" s="2"/>
      <c r="D352" s="2"/>
      <c r="E352" s="2"/>
      <c r="F352" s="2"/>
      <c r="G352" s="2"/>
      <c r="H352" s="2"/>
      <c r="I352" s="2"/>
      <c r="J352" s="2"/>
      <c r="K352" s="2"/>
      <c r="L352" s="2"/>
      <c r="M352" s="2"/>
      <c r="N352" s="2"/>
      <c r="O352" s="2"/>
      <c r="P352" s="2"/>
      <c r="Q352" s="2"/>
      <c r="R352" s="2"/>
      <c r="S352" s="2"/>
      <c r="T352" s="2"/>
      <c r="U352" s="2"/>
      <c r="V352" s="2"/>
      <c r="W352" s="2"/>
      <c r="X352" s="3"/>
      <c r="Y352" s="2"/>
      <c r="Z352" s="2"/>
      <c r="AA352" s="2"/>
      <c r="AB352" s="2"/>
      <c r="AC352" s="2"/>
      <c r="AD352" s="2"/>
      <c r="AE352" s="2"/>
      <c r="AF352" s="2"/>
      <c r="AG352" s="2"/>
      <c r="AH352" s="2"/>
      <c r="AI352" s="2"/>
      <c r="AJ352" s="2"/>
      <c r="AK352" s="2"/>
      <c r="AL352" s="2"/>
    </row>
    <row r="353">
      <c r="A353" s="1"/>
      <c r="B353" s="2"/>
      <c r="C353" s="2"/>
      <c r="D353" s="2"/>
      <c r="E353" s="2"/>
      <c r="F353" s="2"/>
      <c r="G353" s="2"/>
      <c r="H353" s="2"/>
      <c r="I353" s="2"/>
      <c r="J353" s="2"/>
      <c r="K353" s="2"/>
      <c r="L353" s="2"/>
      <c r="M353" s="2"/>
      <c r="N353" s="2"/>
      <c r="O353" s="2"/>
      <c r="P353" s="2"/>
      <c r="Q353" s="2"/>
      <c r="R353" s="2"/>
      <c r="S353" s="2"/>
      <c r="T353" s="2"/>
      <c r="U353" s="2"/>
      <c r="V353" s="2"/>
      <c r="W353" s="2"/>
      <c r="X353" s="3"/>
      <c r="Y353" s="2"/>
      <c r="Z353" s="2"/>
      <c r="AA353" s="2"/>
      <c r="AB353" s="2"/>
      <c r="AC353" s="2"/>
      <c r="AD353" s="2"/>
      <c r="AE353" s="2"/>
      <c r="AF353" s="2"/>
      <c r="AG353" s="2"/>
      <c r="AH353" s="2"/>
      <c r="AI353" s="2"/>
      <c r="AJ353" s="2"/>
      <c r="AK353" s="2"/>
      <c r="AL353" s="2"/>
    </row>
    <row r="354">
      <c r="A354" s="1"/>
      <c r="B354" s="2"/>
      <c r="C354" s="2"/>
      <c r="D354" s="2"/>
      <c r="E354" s="2"/>
      <c r="F354" s="2"/>
      <c r="G354" s="2"/>
      <c r="H354" s="2"/>
      <c r="I354" s="2"/>
      <c r="J354" s="2"/>
      <c r="K354" s="2"/>
      <c r="L354" s="2"/>
      <c r="M354" s="2"/>
      <c r="N354" s="2"/>
      <c r="O354" s="2"/>
      <c r="P354" s="2"/>
      <c r="Q354" s="2"/>
      <c r="R354" s="2"/>
      <c r="S354" s="2"/>
      <c r="T354" s="2"/>
      <c r="U354" s="2"/>
      <c r="V354" s="2"/>
      <c r="W354" s="2"/>
      <c r="X354" s="3"/>
      <c r="Y354" s="2"/>
      <c r="Z354" s="2"/>
      <c r="AA354" s="2"/>
      <c r="AB354" s="2"/>
      <c r="AC354" s="2"/>
      <c r="AD354" s="2"/>
      <c r="AE354" s="2"/>
      <c r="AF354" s="2"/>
      <c r="AG354" s="2"/>
      <c r="AH354" s="2"/>
      <c r="AI354" s="2"/>
      <c r="AJ354" s="2"/>
      <c r="AK354" s="2"/>
      <c r="AL354" s="2"/>
    </row>
    <row r="355">
      <c r="A355" s="1"/>
      <c r="B355" s="2"/>
      <c r="C355" s="2"/>
      <c r="D355" s="2"/>
      <c r="E355" s="2"/>
      <c r="F355" s="2"/>
      <c r="G355" s="2"/>
      <c r="H355" s="2"/>
      <c r="I355" s="2"/>
      <c r="J355" s="2"/>
      <c r="K355" s="2"/>
      <c r="L355" s="2"/>
      <c r="M355" s="2"/>
      <c r="N355" s="2"/>
      <c r="O355" s="2"/>
      <c r="P355" s="2"/>
      <c r="Q355" s="2"/>
      <c r="R355" s="2"/>
      <c r="S355" s="2"/>
      <c r="T355" s="2"/>
      <c r="U355" s="2"/>
      <c r="V355" s="2"/>
      <c r="W355" s="2"/>
      <c r="X355" s="3"/>
      <c r="Y355" s="2"/>
      <c r="Z355" s="2"/>
      <c r="AA355" s="2"/>
      <c r="AB355" s="2"/>
      <c r="AC355" s="2"/>
      <c r="AD355" s="2"/>
      <c r="AE355" s="2"/>
      <c r="AF355" s="2"/>
      <c r="AG355" s="2"/>
      <c r="AH355" s="2"/>
      <c r="AI355" s="2"/>
      <c r="AJ355" s="2"/>
      <c r="AK355" s="2"/>
      <c r="AL355" s="2"/>
    </row>
    <row r="356">
      <c r="A356" s="1"/>
      <c r="B356" s="2"/>
      <c r="C356" s="2"/>
      <c r="D356" s="2"/>
      <c r="E356" s="2"/>
      <c r="F356" s="2"/>
      <c r="G356" s="2"/>
      <c r="H356" s="2"/>
      <c r="I356" s="2"/>
      <c r="J356" s="2"/>
      <c r="K356" s="2"/>
      <c r="L356" s="2"/>
      <c r="M356" s="2"/>
      <c r="N356" s="2"/>
      <c r="O356" s="2"/>
      <c r="P356" s="2"/>
      <c r="Q356" s="2"/>
      <c r="R356" s="2"/>
      <c r="S356" s="2"/>
      <c r="T356" s="2"/>
      <c r="U356" s="2"/>
      <c r="V356" s="2"/>
      <c r="W356" s="2"/>
      <c r="X356" s="3"/>
      <c r="Y356" s="2"/>
      <c r="Z356" s="2"/>
      <c r="AA356" s="2"/>
      <c r="AB356" s="2"/>
      <c r="AC356" s="2"/>
      <c r="AD356" s="2"/>
      <c r="AE356" s="2"/>
      <c r="AF356" s="2"/>
      <c r="AG356" s="2"/>
      <c r="AH356" s="2"/>
      <c r="AI356" s="2"/>
      <c r="AJ356" s="2"/>
      <c r="AK356" s="2"/>
      <c r="AL356" s="2"/>
    </row>
    <row r="357">
      <c r="A357" s="1"/>
      <c r="B357" s="2"/>
      <c r="C357" s="2"/>
      <c r="D357" s="2"/>
      <c r="E357" s="2"/>
      <c r="F357" s="2"/>
      <c r="G357" s="2"/>
      <c r="H357" s="2"/>
      <c r="I357" s="2"/>
      <c r="J357" s="2"/>
      <c r="K357" s="2"/>
      <c r="L357" s="2"/>
      <c r="M357" s="2"/>
      <c r="N357" s="2"/>
      <c r="O357" s="2"/>
      <c r="P357" s="2"/>
      <c r="Q357" s="2"/>
      <c r="R357" s="2"/>
      <c r="S357" s="2"/>
      <c r="T357" s="2"/>
      <c r="U357" s="2"/>
      <c r="V357" s="2"/>
      <c r="W357" s="2"/>
      <c r="X357" s="3"/>
      <c r="Y357" s="2"/>
      <c r="Z357" s="2"/>
      <c r="AA357" s="2"/>
      <c r="AB357" s="2"/>
      <c r="AC357" s="2"/>
      <c r="AD357" s="2"/>
      <c r="AE357" s="2"/>
      <c r="AF357" s="2"/>
      <c r="AG357" s="2"/>
      <c r="AH357" s="2"/>
      <c r="AI357" s="2"/>
      <c r="AJ357" s="2"/>
      <c r="AK357" s="2"/>
      <c r="AL357" s="2"/>
    </row>
    <row r="358">
      <c r="A358" s="1"/>
      <c r="B358" s="2"/>
      <c r="C358" s="2"/>
      <c r="D358" s="2"/>
      <c r="E358" s="2"/>
      <c r="F358" s="2"/>
      <c r="G358" s="2"/>
      <c r="H358" s="2"/>
      <c r="I358" s="2"/>
      <c r="J358" s="2"/>
      <c r="K358" s="2"/>
      <c r="L358" s="2"/>
      <c r="M358" s="2"/>
      <c r="N358" s="2"/>
      <c r="O358" s="2"/>
      <c r="P358" s="2"/>
      <c r="Q358" s="2"/>
      <c r="R358" s="2"/>
      <c r="S358" s="2"/>
      <c r="T358" s="2"/>
      <c r="U358" s="2"/>
      <c r="V358" s="2"/>
      <c r="W358" s="2"/>
      <c r="X358" s="3"/>
      <c r="Y358" s="2"/>
      <c r="Z358" s="2"/>
      <c r="AA358" s="2"/>
      <c r="AB358" s="2"/>
      <c r="AC358" s="2"/>
      <c r="AD358" s="2"/>
      <c r="AE358" s="2"/>
      <c r="AF358" s="2"/>
      <c r="AG358" s="2"/>
      <c r="AH358" s="2"/>
      <c r="AI358" s="2"/>
      <c r="AJ358" s="2"/>
      <c r="AK358" s="2"/>
      <c r="AL358" s="2"/>
    </row>
    <row r="359">
      <c r="A359" s="1"/>
      <c r="B359" s="2"/>
      <c r="C359" s="2"/>
      <c r="D359" s="2"/>
      <c r="E359" s="2"/>
      <c r="F359" s="2"/>
      <c r="G359" s="2"/>
      <c r="H359" s="2"/>
      <c r="I359" s="2"/>
      <c r="J359" s="2"/>
      <c r="K359" s="2"/>
      <c r="L359" s="2"/>
      <c r="M359" s="2"/>
      <c r="N359" s="2"/>
      <c r="O359" s="2"/>
      <c r="P359" s="2"/>
      <c r="Q359" s="2"/>
      <c r="R359" s="2"/>
      <c r="S359" s="2"/>
      <c r="T359" s="2"/>
      <c r="U359" s="2"/>
      <c r="V359" s="2"/>
      <c r="W359" s="2"/>
      <c r="X359" s="3"/>
      <c r="Y359" s="2"/>
      <c r="Z359" s="2"/>
      <c r="AA359" s="2"/>
      <c r="AB359" s="2"/>
      <c r="AC359" s="2"/>
      <c r="AD359" s="2"/>
      <c r="AE359" s="2"/>
      <c r="AF359" s="2"/>
      <c r="AG359" s="2"/>
      <c r="AH359" s="2"/>
      <c r="AI359" s="2"/>
      <c r="AJ359" s="2"/>
      <c r="AK359" s="2"/>
      <c r="AL359" s="2"/>
    </row>
    <row r="360">
      <c r="A360" s="1"/>
      <c r="B360" s="2"/>
      <c r="C360" s="2"/>
      <c r="D360" s="2"/>
      <c r="E360" s="2"/>
      <c r="F360" s="2"/>
      <c r="G360" s="2"/>
      <c r="H360" s="2"/>
      <c r="I360" s="2"/>
      <c r="J360" s="2"/>
      <c r="K360" s="2"/>
      <c r="L360" s="2"/>
      <c r="M360" s="2"/>
      <c r="N360" s="2"/>
      <c r="O360" s="2"/>
      <c r="P360" s="2"/>
      <c r="Q360" s="2"/>
      <c r="R360" s="2"/>
      <c r="S360" s="2"/>
      <c r="T360" s="2"/>
      <c r="U360" s="2"/>
      <c r="V360" s="2"/>
      <c r="W360" s="2"/>
      <c r="X360" s="3"/>
      <c r="Y360" s="2"/>
      <c r="Z360" s="2"/>
      <c r="AA360" s="2"/>
      <c r="AB360" s="2"/>
      <c r="AC360" s="2"/>
      <c r="AD360" s="2"/>
      <c r="AE360" s="2"/>
      <c r="AF360" s="2"/>
      <c r="AG360" s="2"/>
      <c r="AH360" s="2"/>
      <c r="AI360" s="2"/>
      <c r="AJ360" s="2"/>
      <c r="AK360" s="2"/>
      <c r="AL360" s="2"/>
    </row>
    <row r="361">
      <c r="A361" s="1"/>
      <c r="B361" s="2"/>
      <c r="C361" s="2"/>
      <c r="D361" s="2"/>
      <c r="E361" s="2"/>
      <c r="F361" s="2"/>
      <c r="G361" s="2"/>
      <c r="H361" s="2"/>
      <c r="I361" s="2"/>
      <c r="J361" s="2"/>
      <c r="K361" s="2"/>
      <c r="L361" s="2"/>
      <c r="M361" s="2"/>
      <c r="N361" s="2"/>
      <c r="O361" s="2"/>
      <c r="P361" s="2"/>
      <c r="Q361" s="2"/>
      <c r="R361" s="2"/>
      <c r="S361" s="2"/>
      <c r="T361" s="2"/>
      <c r="U361" s="2"/>
      <c r="V361" s="2"/>
      <c r="W361" s="2"/>
      <c r="X361" s="3"/>
      <c r="Y361" s="2"/>
      <c r="Z361" s="2"/>
      <c r="AA361" s="2"/>
      <c r="AB361" s="2"/>
      <c r="AC361" s="2"/>
      <c r="AD361" s="2"/>
      <c r="AE361" s="2"/>
      <c r="AF361" s="2"/>
      <c r="AG361" s="2"/>
      <c r="AH361" s="2"/>
      <c r="AI361" s="2"/>
      <c r="AJ361" s="2"/>
      <c r="AK361" s="2"/>
      <c r="AL361" s="2"/>
    </row>
    <row r="362">
      <c r="A362" s="1"/>
      <c r="B362" s="2"/>
      <c r="C362" s="2"/>
      <c r="D362" s="2"/>
      <c r="E362" s="2"/>
      <c r="F362" s="2"/>
      <c r="G362" s="2"/>
      <c r="H362" s="2"/>
      <c r="I362" s="2"/>
      <c r="J362" s="2"/>
      <c r="K362" s="2"/>
      <c r="L362" s="2"/>
      <c r="M362" s="2"/>
      <c r="N362" s="2"/>
      <c r="O362" s="2"/>
      <c r="P362" s="2"/>
      <c r="Q362" s="2"/>
      <c r="R362" s="2"/>
      <c r="S362" s="2"/>
      <c r="T362" s="2"/>
      <c r="U362" s="2"/>
      <c r="V362" s="2"/>
      <c r="W362" s="2"/>
      <c r="X362" s="3"/>
      <c r="Y362" s="2"/>
      <c r="Z362" s="2"/>
      <c r="AA362" s="2"/>
      <c r="AB362" s="2"/>
      <c r="AC362" s="2"/>
      <c r="AD362" s="2"/>
      <c r="AE362" s="2"/>
      <c r="AF362" s="2"/>
      <c r="AG362" s="2"/>
      <c r="AH362" s="2"/>
      <c r="AI362" s="2"/>
      <c r="AJ362" s="2"/>
      <c r="AK362" s="2"/>
      <c r="AL362" s="2"/>
    </row>
    <row r="363">
      <c r="A363" s="1"/>
      <c r="B363" s="2"/>
      <c r="C363" s="2"/>
      <c r="D363" s="2"/>
      <c r="E363" s="2"/>
      <c r="F363" s="2"/>
      <c r="G363" s="2"/>
      <c r="H363" s="2"/>
      <c r="I363" s="2"/>
      <c r="J363" s="2"/>
      <c r="K363" s="2"/>
      <c r="L363" s="2"/>
      <c r="M363" s="2"/>
      <c r="N363" s="2"/>
      <c r="O363" s="2"/>
      <c r="P363" s="2"/>
      <c r="Q363" s="2"/>
      <c r="R363" s="2"/>
      <c r="S363" s="2"/>
      <c r="T363" s="2"/>
      <c r="U363" s="2"/>
      <c r="V363" s="2"/>
      <c r="W363" s="2"/>
      <c r="X363" s="3"/>
      <c r="Y363" s="2"/>
      <c r="Z363" s="2"/>
      <c r="AA363" s="2"/>
      <c r="AB363" s="2"/>
      <c r="AC363" s="2"/>
      <c r="AD363" s="2"/>
      <c r="AE363" s="2"/>
      <c r="AF363" s="2"/>
      <c r="AG363" s="2"/>
      <c r="AH363" s="2"/>
      <c r="AI363" s="2"/>
      <c r="AJ363" s="2"/>
      <c r="AK363" s="2"/>
      <c r="AL363" s="2"/>
    </row>
    <row r="364">
      <c r="A364" s="1"/>
      <c r="B364" s="2"/>
      <c r="C364" s="2"/>
      <c r="D364" s="2"/>
      <c r="E364" s="2"/>
      <c r="F364" s="2"/>
      <c r="G364" s="2"/>
      <c r="H364" s="2"/>
      <c r="I364" s="2"/>
      <c r="J364" s="2"/>
      <c r="K364" s="2"/>
      <c r="L364" s="2"/>
      <c r="M364" s="2"/>
      <c r="N364" s="2"/>
      <c r="O364" s="2"/>
      <c r="P364" s="2"/>
      <c r="Q364" s="2"/>
      <c r="R364" s="2"/>
      <c r="S364" s="2"/>
      <c r="T364" s="2"/>
      <c r="U364" s="2"/>
      <c r="V364" s="2"/>
      <c r="W364" s="2"/>
      <c r="X364" s="3"/>
      <c r="Y364" s="2"/>
      <c r="Z364" s="2"/>
      <c r="AA364" s="2"/>
      <c r="AB364" s="2"/>
      <c r="AC364" s="2"/>
      <c r="AD364" s="2"/>
      <c r="AE364" s="2"/>
      <c r="AF364" s="2"/>
      <c r="AG364" s="2"/>
      <c r="AH364" s="2"/>
      <c r="AI364" s="2"/>
      <c r="AJ364" s="2"/>
      <c r="AK364" s="2"/>
      <c r="AL364" s="2"/>
    </row>
    <row r="365">
      <c r="A365" s="1"/>
      <c r="B365" s="2"/>
      <c r="C365" s="2"/>
      <c r="D365" s="2"/>
      <c r="E365" s="2"/>
      <c r="F365" s="2"/>
      <c r="G365" s="2"/>
      <c r="H365" s="2"/>
      <c r="I365" s="2"/>
      <c r="J365" s="2"/>
      <c r="K365" s="2"/>
      <c r="L365" s="2"/>
      <c r="M365" s="2"/>
      <c r="N365" s="2"/>
      <c r="O365" s="2"/>
      <c r="P365" s="2"/>
      <c r="Q365" s="2"/>
      <c r="R365" s="2"/>
      <c r="S365" s="2"/>
      <c r="T365" s="2"/>
      <c r="U365" s="2"/>
      <c r="V365" s="2"/>
      <c r="W365" s="2"/>
      <c r="X365" s="3"/>
      <c r="Y365" s="2"/>
      <c r="Z365" s="2"/>
      <c r="AA365" s="2"/>
      <c r="AB365" s="2"/>
      <c r="AC365" s="2"/>
      <c r="AD365" s="2"/>
      <c r="AE365" s="2"/>
      <c r="AF365" s="2"/>
      <c r="AG365" s="2"/>
      <c r="AH365" s="2"/>
      <c r="AI365" s="2"/>
      <c r="AJ365" s="2"/>
      <c r="AK365" s="2"/>
      <c r="AL365" s="2"/>
    </row>
    <row r="366">
      <c r="A366" s="1"/>
      <c r="B366" s="2"/>
      <c r="C366" s="2"/>
      <c r="D366" s="2"/>
      <c r="E366" s="2"/>
      <c r="F366" s="2"/>
      <c r="G366" s="2"/>
      <c r="H366" s="2"/>
      <c r="I366" s="2"/>
      <c r="J366" s="2"/>
      <c r="K366" s="2"/>
      <c r="L366" s="2"/>
      <c r="M366" s="2"/>
      <c r="N366" s="2"/>
      <c r="O366" s="2"/>
      <c r="P366" s="2"/>
      <c r="Q366" s="2"/>
      <c r="R366" s="2"/>
      <c r="S366" s="2"/>
      <c r="T366" s="2"/>
      <c r="U366" s="2"/>
      <c r="V366" s="2"/>
      <c r="W366" s="2"/>
      <c r="X366" s="3"/>
      <c r="Y366" s="2"/>
      <c r="Z366" s="2"/>
      <c r="AA366" s="2"/>
      <c r="AB366" s="2"/>
      <c r="AC366" s="2"/>
      <c r="AD366" s="2"/>
      <c r="AE366" s="2"/>
      <c r="AF366" s="2"/>
      <c r="AG366" s="2"/>
      <c r="AH366" s="2"/>
      <c r="AI366" s="2"/>
      <c r="AJ366" s="2"/>
      <c r="AK366" s="2"/>
      <c r="AL366" s="2"/>
    </row>
    <row r="367">
      <c r="A367" s="1"/>
      <c r="B367" s="2"/>
      <c r="C367" s="2"/>
      <c r="D367" s="2"/>
      <c r="E367" s="2"/>
      <c r="F367" s="2"/>
      <c r="G367" s="2"/>
      <c r="H367" s="2"/>
      <c r="I367" s="2"/>
      <c r="J367" s="2"/>
      <c r="K367" s="2"/>
      <c r="L367" s="2"/>
      <c r="M367" s="2"/>
      <c r="N367" s="2"/>
      <c r="O367" s="2"/>
      <c r="P367" s="2"/>
      <c r="Q367" s="2"/>
      <c r="R367" s="2"/>
      <c r="S367" s="2"/>
      <c r="T367" s="2"/>
      <c r="U367" s="2"/>
      <c r="V367" s="2"/>
      <c r="W367" s="2"/>
      <c r="X367" s="3"/>
      <c r="Y367" s="2"/>
      <c r="Z367" s="2"/>
      <c r="AA367" s="2"/>
      <c r="AB367" s="2"/>
      <c r="AC367" s="2"/>
      <c r="AD367" s="2"/>
      <c r="AE367" s="2"/>
      <c r="AF367" s="2"/>
      <c r="AG367" s="2"/>
      <c r="AH367" s="2"/>
      <c r="AI367" s="2"/>
      <c r="AJ367" s="2"/>
      <c r="AK367" s="2"/>
      <c r="AL367" s="2"/>
    </row>
    <row r="368">
      <c r="A368" s="1"/>
      <c r="B368" s="2"/>
      <c r="C368" s="2"/>
      <c r="D368" s="2"/>
      <c r="E368" s="2"/>
      <c r="F368" s="2"/>
      <c r="G368" s="2"/>
      <c r="H368" s="2"/>
      <c r="I368" s="2"/>
      <c r="J368" s="2"/>
      <c r="K368" s="2"/>
      <c r="L368" s="2"/>
      <c r="M368" s="2"/>
      <c r="N368" s="2"/>
      <c r="O368" s="2"/>
      <c r="P368" s="2"/>
      <c r="Q368" s="2"/>
      <c r="R368" s="2"/>
      <c r="S368" s="2"/>
      <c r="T368" s="2"/>
      <c r="U368" s="2"/>
      <c r="V368" s="2"/>
      <c r="W368" s="2"/>
      <c r="X368" s="3"/>
      <c r="Y368" s="2"/>
      <c r="Z368" s="2"/>
      <c r="AA368" s="2"/>
      <c r="AB368" s="2"/>
      <c r="AC368" s="2"/>
      <c r="AD368" s="2"/>
      <c r="AE368" s="2"/>
      <c r="AF368" s="2"/>
      <c r="AG368" s="2"/>
      <c r="AH368" s="2"/>
      <c r="AI368" s="2"/>
      <c r="AJ368" s="2"/>
      <c r="AK368" s="2"/>
      <c r="AL368" s="2"/>
    </row>
    <row r="369">
      <c r="A369" s="1"/>
      <c r="B369" s="2"/>
      <c r="C369" s="2"/>
      <c r="D369" s="2"/>
      <c r="E369" s="2"/>
      <c r="F369" s="2"/>
      <c r="G369" s="2"/>
      <c r="H369" s="2"/>
      <c r="I369" s="2"/>
      <c r="J369" s="2"/>
      <c r="K369" s="2"/>
      <c r="L369" s="2"/>
      <c r="M369" s="2"/>
      <c r="N369" s="2"/>
      <c r="O369" s="2"/>
      <c r="P369" s="2"/>
      <c r="Q369" s="2"/>
      <c r="R369" s="2"/>
      <c r="S369" s="2"/>
      <c r="T369" s="2"/>
      <c r="U369" s="2"/>
      <c r="V369" s="2"/>
      <c r="W369" s="2"/>
      <c r="X369" s="3"/>
      <c r="Y369" s="2"/>
      <c r="Z369" s="2"/>
      <c r="AA369" s="2"/>
      <c r="AB369" s="2"/>
      <c r="AC369" s="2"/>
      <c r="AD369" s="2"/>
      <c r="AE369" s="2"/>
      <c r="AF369" s="2"/>
      <c r="AG369" s="2"/>
      <c r="AH369" s="2"/>
      <c r="AI369" s="2"/>
      <c r="AJ369" s="2"/>
      <c r="AK369" s="2"/>
      <c r="AL369" s="2"/>
    </row>
    <row r="370">
      <c r="A370" s="1"/>
      <c r="B370" s="2"/>
      <c r="C370" s="2"/>
      <c r="D370" s="2"/>
      <c r="E370" s="2"/>
      <c r="F370" s="2"/>
      <c r="G370" s="2"/>
      <c r="H370" s="2"/>
      <c r="I370" s="2"/>
      <c r="J370" s="2"/>
      <c r="K370" s="2"/>
      <c r="L370" s="2"/>
      <c r="M370" s="2"/>
      <c r="N370" s="2"/>
      <c r="O370" s="2"/>
      <c r="P370" s="2"/>
      <c r="Q370" s="2"/>
      <c r="R370" s="2"/>
      <c r="S370" s="2"/>
      <c r="T370" s="2"/>
      <c r="U370" s="2"/>
      <c r="V370" s="2"/>
      <c r="W370" s="2"/>
      <c r="X370" s="3"/>
      <c r="Y370" s="2"/>
      <c r="Z370" s="2"/>
      <c r="AA370" s="2"/>
      <c r="AB370" s="2"/>
      <c r="AC370" s="2"/>
      <c r="AD370" s="2"/>
      <c r="AE370" s="2"/>
      <c r="AF370" s="2"/>
      <c r="AG370" s="2"/>
      <c r="AH370" s="2"/>
      <c r="AI370" s="2"/>
      <c r="AJ370" s="2"/>
      <c r="AK370" s="2"/>
      <c r="AL370" s="2"/>
    </row>
    <row r="371">
      <c r="A371" s="1"/>
      <c r="B371" s="2"/>
      <c r="C371" s="2"/>
      <c r="D371" s="2"/>
      <c r="E371" s="2"/>
      <c r="F371" s="2"/>
      <c r="G371" s="2"/>
      <c r="H371" s="2"/>
      <c r="I371" s="2"/>
      <c r="J371" s="2"/>
      <c r="K371" s="2"/>
      <c r="L371" s="2"/>
      <c r="M371" s="2"/>
      <c r="N371" s="2"/>
      <c r="O371" s="2"/>
      <c r="P371" s="2"/>
      <c r="Q371" s="2"/>
      <c r="R371" s="2"/>
      <c r="S371" s="2"/>
      <c r="T371" s="2"/>
      <c r="U371" s="2"/>
      <c r="V371" s="2"/>
      <c r="W371" s="2"/>
      <c r="X371" s="3"/>
      <c r="Y371" s="2"/>
      <c r="Z371" s="2"/>
      <c r="AA371" s="2"/>
      <c r="AB371" s="2"/>
      <c r="AC371" s="2"/>
      <c r="AD371" s="2"/>
      <c r="AE371" s="2"/>
      <c r="AF371" s="2"/>
      <c r="AG371" s="2"/>
      <c r="AH371" s="2"/>
      <c r="AI371" s="2"/>
      <c r="AJ371" s="2"/>
      <c r="AK371" s="2"/>
      <c r="AL371" s="2"/>
    </row>
    <row r="372">
      <c r="A372" s="1"/>
      <c r="B372" s="2"/>
      <c r="C372" s="2"/>
      <c r="D372" s="2"/>
      <c r="E372" s="2"/>
      <c r="F372" s="2"/>
      <c r="G372" s="2"/>
      <c r="H372" s="2"/>
      <c r="I372" s="2"/>
      <c r="J372" s="2"/>
      <c r="K372" s="2"/>
      <c r="L372" s="2"/>
      <c r="M372" s="2"/>
      <c r="N372" s="2"/>
      <c r="O372" s="2"/>
      <c r="P372" s="2"/>
      <c r="Q372" s="2"/>
      <c r="R372" s="2"/>
      <c r="S372" s="2"/>
      <c r="T372" s="2"/>
      <c r="U372" s="2"/>
      <c r="V372" s="2"/>
      <c r="W372" s="2"/>
      <c r="X372" s="3"/>
      <c r="Y372" s="2"/>
      <c r="Z372" s="2"/>
      <c r="AA372" s="2"/>
      <c r="AB372" s="2"/>
      <c r="AC372" s="2"/>
      <c r="AD372" s="2"/>
      <c r="AE372" s="2"/>
      <c r="AF372" s="2"/>
      <c r="AG372" s="2"/>
      <c r="AH372" s="2"/>
      <c r="AI372" s="2"/>
      <c r="AJ372" s="2"/>
      <c r="AK372" s="2"/>
      <c r="AL372" s="2"/>
    </row>
    <row r="373">
      <c r="A373" s="1"/>
      <c r="B373" s="2"/>
      <c r="C373" s="2"/>
      <c r="D373" s="2"/>
      <c r="E373" s="2"/>
      <c r="F373" s="2"/>
      <c r="G373" s="2"/>
      <c r="H373" s="2"/>
      <c r="I373" s="2"/>
      <c r="J373" s="2"/>
      <c r="K373" s="2"/>
      <c r="L373" s="2"/>
      <c r="M373" s="2"/>
      <c r="N373" s="2"/>
      <c r="O373" s="2"/>
      <c r="P373" s="2"/>
      <c r="Q373" s="2"/>
      <c r="R373" s="2"/>
      <c r="S373" s="2"/>
      <c r="T373" s="2"/>
      <c r="U373" s="2"/>
      <c r="V373" s="2"/>
      <c r="W373" s="2"/>
      <c r="X373" s="3"/>
      <c r="Y373" s="2"/>
      <c r="Z373" s="2"/>
      <c r="AA373" s="2"/>
      <c r="AB373" s="2"/>
      <c r="AC373" s="2"/>
      <c r="AD373" s="2"/>
      <c r="AE373" s="2"/>
      <c r="AF373" s="2"/>
      <c r="AG373" s="2"/>
      <c r="AH373" s="2"/>
      <c r="AI373" s="2"/>
      <c r="AJ373" s="2"/>
      <c r="AK373" s="2"/>
      <c r="AL373" s="2"/>
    </row>
    <row r="374">
      <c r="A374" s="1"/>
      <c r="B374" s="2"/>
      <c r="C374" s="2"/>
      <c r="D374" s="2"/>
      <c r="E374" s="2"/>
      <c r="F374" s="2"/>
      <c r="G374" s="2"/>
      <c r="H374" s="2"/>
      <c r="I374" s="2"/>
      <c r="J374" s="2"/>
      <c r="K374" s="2"/>
      <c r="L374" s="2"/>
      <c r="M374" s="2"/>
      <c r="N374" s="2"/>
      <c r="O374" s="2"/>
      <c r="P374" s="2"/>
      <c r="Q374" s="2"/>
      <c r="R374" s="2"/>
      <c r="S374" s="2"/>
      <c r="T374" s="2"/>
      <c r="U374" s="2"/>
      <c r="V374" s="2"/>
      <c r="W374" s="2"/>
      <c r="X374" s="3"/>
      <c r="Y374" s="2"/>
      <c r="Z374" s="2"/>
      <c r="AA374" s="2"/>
      <c r="AB374" s="2"/>
      <c r="AC374" s="2"/>
      <c r="AD374" s="2"/>
      <c r="AE374" s="2"/>
      <c r="AF374" s="2"/>
      <c r="AG374" s="2"/>
      <c r="AH374" s="2"/>
      <c r="AI374" s="2"/>
      <c r="AJ374" s="2"/>
      <c r="AK374" s="2"/>
      <c r="AL374" s="2"/>
    </row>
    <row r="375">
      <c r="A375" s="1"/>
      <c r="B375" s="2"/>
      <c r="C375" s="2"/>
      <c r="D375" s="2"/>
      <c r="E375" s="2"/>
      <c r="F375" s="2"/>
      <c r="G375" s="2"/>
      <c r="H375" s="2"/>
      <c r="I375" s="2"/>
      <c r="J375" s="2"/>
      <c r="K375" s="2"/>
      <c r="L375" s="2"/>
      <c r="M375" s="2"/>
      <c r="N375" s="2"/>
      <c r="O375" s="2"/>
      <c r="P375" s="2"/>
      <c r="Q375" s="2"/>
      <c r="R375" s="2"/>
      <c r="S375" s="2"/>
      <c r="T375" s="2"/>
      <c r="U375" s="2"/>
      <c r="V375" s="2"/>
      <c r="W375" s="2"/>
      <c r="X375" s="3"/>
      <c r="Y375" s="2"/>
      <c r="Z375" s="2"/>
      <c r="AA375" s="2"/>
      <c r="AB375" s="2"/>
      <c r="AC375" s="2"/>
      <c r="AD375" s="2"/>
      <c r="AE375" s="2"/>
      <c r="AF375" s="2"/>
      <c r="AG375" s="2"/>
      <c r="AH375" s="2"/>
      <c r="AI375" s="2"/>
      <c r="AJ375" s="2"/>
      <c r="AK375" s="2"/>
      <c r="AL375" s="2"/>
    </row>
    <row r="376">
      <c r="A376" s="1"/>
      <c r="B376" s="2"/>
      <c r="C376" s="2"/>
      <c r="D376" s="2"/>
      <c r="E376" s="2"/>
      <c r="F376" s="2"/>
      <c r="G376" s="2"/>
      <c r="H376" s="2"/>
      <c r="I376" s="2"/>
      <c r="J376" s="2"/>
      <c r="K376" s="2"/>
      <c r="L376" s="2"/>
      <c r="M376" s="2"/>
      <c r="N376" s="2"/>
      <c r="O376" s="2"/>
      <c r="P376" s="2"/>
      <c r="Q376" s="2"/>
      <c r="R376" s="2"/>
      <c r="S376" s="2"/>
      <c r="T376" s="2"/>
      <c r="U376" s="2"/>
      <c r="V376" s="2"/>
      <c r="W376" s="2"/>
      <c r="X376" s="3"/>
      <c r="Y376" s="2"/>
      <c r="Z376" s="2"/>
      <c r="AA376" s="2"/>
      <c r="AB376" s="2"/>
      <c r="AC376" s="2"/>
      <c r="AD376" s="2"/>
      <c r="AE376" s="2"/>
      <c r="AF376" s="2"/>
      <c r="AG376" s="2"/>
      <c r="AH376" s="2"/>
      <c r="AI376" s="2"/>
      <c r="AJ376" s="2"/>
      <c r="AK376" s="2"/>
      <c r="AL376" s="2"/>
    </row>
    <row r="377">
      <c r="A377" s="1"/>
      <c r="B377" s="2"/>
      <c r="C377" s="2"/>
      <c r="D377" s="2"/>
      <c r="E377" s="2"/>
      <c r="F377" s="2"/>
      <c r="G377" s="2"/>
      <c r="H377" s="2"/>
      <c r="I377" s="2"/>
      <c r="J377" s="2"/>
      <c r="K377" s="2"/>
      <c r="L377" s="2"/>
      <c r="M377" s="2"/>
      <c r="N377" s="2"/>
      <c r="O377" s="2"/>
      <c r="P377" s="2"/>
      <c r="Q377" s="2"/>
      <c r="R377" s="2"/>
      <c r="S377" s="2"/>
      <c r="T377" s="2"/>
      <c r="U377" s="2"/>
      <c r="V377" s="2"/>
      <c r="W377" s="2"/>
      <c r="X377" s="3"/>
      <c r="Y377" s="2"/>
      <c r="Z377" s="2"/>
      <c r="AA377" s="2"/>
      <c r="AB377" s="2"/>
      <c r="AC377" s="2"/>
      <c r="AD377" s="2"/>
      <c r="AE377" s="2"/>
      <c r="AF377" s="2"/>
      <c r="AG377" s="2"/>
      <c r="AH377" s="2"/>
      <c r="AI377" s="2"/>
      <c r="AJ377" s="2"/>
      <c r="AK377" s="2"/>
      <c r="AL377" s="2"/>
    </row>
    <row r="378">
      <c r="A378" s="1"/>
      <c r="B378" s="2"/>
      <c r="C378" s="2"/>
      <c r="D378" s="2"/>
      <c r="E378" s="2"/>
      <c r="F378" s="2"/>
      <c r="G378" s="2"/>
      <c r="H378" s="2"/>
      <c r="I378" s="2"/>
      <c r="J378" s="2"/>
      <c r="K378" s="2"/>
      <c r="L378" s="2"/>
      <c r="M378" s="2"/>
      <c r="N378" s="2"/>
      <c r="O378" s="2"/>
      <c r="P378" s="2"/>
      <c r="Q378" s="2"/>
      <c r="R378" s="2"/>
      <c r="S378" s="2"/>
      <c r="T378" s="2"/>
      <c r="U378" s="2"/>
      <c r="V378" s="2"/>
      <c r="W378" s="2"/>
      <c r="X378" s="3"/>
      <c r="Y378" s="2"/>
      <c r="Z378" s="2"/>
      <c r="AA378" s="2"/>
      <c r="AB378" s="2"/>
      <c r="AC378" s="2"/>
      <c r="AD378" s="2"/>
      <c r="AE378" s="2"/>
      <c r="AF378" s="2"/>
      <c r="AG378" s="2"/>
      <c r="AH378" s="2"/>
      <c r="AI378" s="2"/>
      <c r="AJ378" s="2"/>
      <c r="AK378" s="2"/>
      <c r="AL378" s="2"/>
    </row>
    <row r="379">
      <c r="A379" s="1"/>
      <c r="B379" s="2"/>
      <c r="C379" s="2"/>
      <c r="D379" s="2"/>
      <c r="E379" s="2"/>
      <c r="F379" s="2"/>
      <c r="G379" s="2"/>
      <c r="H379" s="2"/>
      <c r="I379" s="2"/>
      <c r="J379" s="2"/>
      <c r="K379" s="2"/>
      <c r="L379" s="2"/>
      <c r="M379" s="2"/>
      <c r="N379" s="2"/>
      <c r="O379" s="2"/>
      <c r="P379" s="2"/>
      <c r="Q379" s="2"/>
      <c r="R379" s="2"/>
      <c r="S379" s="2"/>
      <c r="T379" s="2"/>
      <c r="U379" s="2"/>
      <c r="V379" s="2"/>
      <c r="W379" s="2"/>
      <c r="X379" s="3"/>
      <c r="Y379" s="2"/>
      <c r="Z379" s="2"/>
      <c r="AA379" s="2"/>
      <c r="AB379" s="2"/>
      <c r="AC379" s="2"/>
      <c r="AD379" s="2"/>
      <c r="AE379" s="2"/>
      <c r="AF379" s="2"/>
      <c r="AG379" s="2"/>
      <c r="AH379" s="2"/>
      <c r="AI379" s="2"/>
      <c r="AJ379" s="2"/>
      <c r="AK379" s="2"/>
      <c r="AL379" s="2"/>
    </row>
    <row r="380">
      <c r="A380" s="1"/>
      <c r="B380" s="2"/>
      <c r="C380" s="2"/>
      <c r="D380" s="2"/>
      <c r="E380" s="2"/>
      <c r="F380" s="2"/>
      <c r="G380" s="2"/>
      <c r="H380" s="2"/>
      <c r="I380" s="2"/>
      <c r="J380" s="2"/>
      <c r="K380" s="2"/>
      <c r="L380" s="2"/>
      <c r="M380" s="2"/>
      <c r="N380" s="2"/>
      <c r="O380" s="2"/>
      <c r="P380" s="2"/>
      <c r="Q380" s="2"/>
      <c r="R380" s="2"/>
      <c r="S380" s="2"/>
      <c r="T380" s="2"/>
      <c r="U380" s="2"/>
      <c r="V380" s="2"/>
      <c r="W380" s="2"/>
      <c r="X380" s="3"/>
      <c r="Y380" s="2"/>
      <c r="Z380" s="2"/>
      <c r="AA380" s="2"/>
      <c r="AB380" s="2"/>
      <c r="AC380" s="2"/>
      <c r="AD380" s="2"/>
      <c r="AE380" s="2"/>
      <c r="AF380" s="2"/>
      <c r="AG380" s="2"/>
      <c r="AH380" s="2"/>
      <c r="AI380" s="2"/>
      <c r="AJ380" s="2"/>
      <c r="AK380" s="2"/>
      <c r="AL380" s="2"/>
    </row>
    <row r="381">
      <c r="A381" s="1"/>
      <c r="B381" s="2"/>
      <c r="C381" s="2"/>
      <c r="D381" s="2"/>
      <c r="E381" s="2"/>
      <c r="F381" s="2"/>
      <c r="G381" s="2"/>
      <c r="H381" s="2"/>
      <c r="I381" s="2"/>
      <c r="J381" s="2"/>
      <c r="K381" s="2"/>
      <c r="L381" s="2"/>
      <c r="M381" s="2"/>
      <c r="N381" s="2"/>
      <c r="O381" s="2"/>
      <c r="P381" s="2"/>
      <c r="Q381" s="2"/>
      <c r="R381" s="2"/>
      <c r="S381" s="2"/>
      <c r="T381" s="2"/>
      <c r="U381" s="2"/>
      <c r="V381" s="2"/>
      <c r="W381" s="2"/>
      <c r="X381" s="3"/>
      <c r="Y381" s="2"/>
      <c r="Z381" s="2"/>
      <c r="AA381" s="2"/>
      <c r="AB381" s="2"/>
      <c r="AC381" s="2"/>
      <c r="AD381" s="2"/>
      <c r="AE381" s="2"/>
      <c r="AF381" s="2"/>
      <c r="AG381" s="2"/>
      <c r="AH381" s="2"/>
      <c r="AI381" s="2"/>
      <c r="AJ381" s="2"/>
      <c r="AK381" s="2"/>
      <c r="AL381" s="2"/>
    </row>
    <row r="382">
      <c r="A382" s="1"/>
      <c r="B382" s="2"/>
      <c r="C382" s="2"/>
      <c r="D382" s="2"/>
      <c r="E382" s="2"/>
      <c r="F382" s="2"/>
      <c r="G382" s="2"/>
      <c r="H382" s="2"/>
      <c r="I382" s="2"/>
      <c r="J382" s="2"/>
      <c r="K382" s="2"/>
      <c r="L382" s="2"/>
      <c r="M382" s="2"/>
      <c r="N382" s="2"/>
      <c r="O382" s="2"/>
      <c r="P382" s="2"/>
      <c r="Q382" s="2"/>
      <c r="R382" s="2"/>
      <c r="S382" s="2"/>
      <c r="T382" s="2"/>
      <c r="U382" s="2"/>
      <c r="V382" s="2"/>
      <c r="W382" s="2"/>
      <c r="X382" s="3"/>
      <c r="Y382" s="2"/>
      <c r="Z382" s="2"/>
      <c r="AA382" s="2"/>
      <c r="AB382" s="2"/>
      <c r="AC382" s="2"/>
      <c r="AD382" s="2"/>
      <c r="AE382" s="2"/>
      <c r="AF382" s="2"/>
      <c r="AG382" s="2"/>
      <c r="AH382" s="2"/>
      <c r="AI382" s="2"/>
      <c r="AJ382" s="2"/>
      <c r="AK382" s="2"/>
      <c r="AL382" s="2"/>
    </row>
    <row r="383">
      <c r="A383" s="1"/>
      <c r="B383" s="2"/>
      <c r="C383" s="2"/>
      <c r="D383" s="2"/>
      <c r="E383" s="2"/>
      <c r="F383" s="2"/>
      <c r="G383" s="2"/>
      <c r="H383" s="2"/>
      <c r="I383" s="2"/>
      <c r="J383" s="2"/>
      <c r="K383" s="2"/>
      <c r="L383" s="2"/>
      <c r="M383" s="2"/>
      <c r="N383" s="2"/>
      <c r="O383" s="2"/>
      <c r="P383" s="2"/>
      <c r="Q383" s="2"/>
      <c r="R383" s="2"/>
      <c r="S383" s="2"/>
      <c r="T383" s="2"/>
      <c r="U383" s="2"/>
      <c r="V383" s="2"/>
      <c r="W383" s="2"/>
      <c r="X383" s="3"/>
      <c r="Y383" s="2"/>
      <c r="Z383" s="2"/>
      <c r="AA383" s="2"/>
      <c r="AB383" s="2"/>
      <c r="AC383" s="2"/>
      <c r="AD383" s="2"/>
      <c r="AE383" s="2"/>
      <c r="AF383" s="2"/>
      <c r="AG383" s="2"/>
      <c r="AH383" s="2"/>
      <c r="AI383" s="2"/>
      <c r="AJ383" s="2"/>
      <c r="AK383" s="2"/>
      <c r="AL383" s="2"/>
    </row>
    <row r="384">
      <c r="A384" s="1"/>
      <c r="B384" s="2"/>
      <c r="C384" s="2"/>
      <c r="D384" s="2"/>
      <c r="E384" s="2"/>
      <c r="F384" s="2"/>
      <c r="G384" s="2"/>
      <c r="H384" s="2"/>
      <c r="I384" s="2"/>
      <c r="J384" s="2"/>
      <c r="K384" s="2"/>
      <c r="L384" s="2"/>
      <c r="M384" s="2"/>
      <c r="N384" s="2"/>
      <c r="O384" s="2"/>
      <c r="P384" s="2"/>
      <c r="Q384" s="2"/>
      <c r="R384" s="2"/>
      <c r="S384" s="2"/>
      <c r="T384" s="2"/>
      <c r="U384" s="2"/>
      <c r="V384" s="2"/>
      <c r="W384" s="2"/>
      <c r="X384" s="3"/>
      <c r="Y384" s="2"/>
      <c r="Z384" s="2"/>
      <c r="AA384" s="2"/>
      <c r="AB384" s="2"/>
      <c r="AC384" s="2"/>
      <c r="AD384" s="2"/>
      <c r="AE384" s="2"/>
      <c r="AF384" s="2"/>
      <c r="AG384" s="2"/>
      <c r="AH384" s="2"/>
      <c r="AI384" s="2"/>
      <c r="AJ384" s="2"/>
      <c r="AK384" s="2"/>
      <c r="AL384" s="2"/>
    </row>
    <row r="385">
      <c r="A385" s="1"/>
      <c r="B385" s="2"/>
      <c r="C385" s="2"/>
      <c r="D385" s="2"/>
      <c r="E385" s="2"/>
      <c r="F385" s="2"/>
      <c r="G385" s="2"/>
      <c r="H385" s="2"/>
      <c r="I385" s="2"/>
      <c r="J385" s="2"/>
      <c r="K385" s="2"/>
      <c r="L385" s="2"/>
      <c r="M385" s="2"/>
      <c r="N385" s="2"/>
      <c r="O385" s="2"/>
      <c r="P385" s="2"/>
      <c r="Q385" s="2"/>
      <c r="R385" s="2"/>
      <c r="S385" s="2"/>
      <c r="T385" s="2"/>
      <c r="U385" s="2"/>
      <c r="V385" s="2"/>
      <c r="W385" s="2"/>
      <c r="X385" s="3"/>
      <c r="Y385" s="2"/>
      <c r="Z385" s="2"/>
      <c r="AA385" s="2"/>
      <c r="AB385" s="2"/>
      <c r="AC385" s="2"/>
      <c r="AD385" s="2"/>
      <c r="AE385" s="2"/>
      <c r="AF385" s="2"/>
      <c r="AG385" s="2"/>
      <c r="AH385" s="2"/>
      <c r="AI385" s="2"/>
      <c r="AJ385" s="2"/>
      <c r="AK385" s="2"/>
      <c r="AL385" s="2"/>
    </row>
    <row r="386">
      <c r="A386" s="1"/>
      <c r="B386" s="2"/>
      <c r="C386" s="2"/>
      <c r="D386" s="2"/>
      <c r="E386" s="2"/>
      <c r="F386" s="2"/>
      <c r="G386" s="2"/>
      <c r="H386" s="2"/>
      <c r="I386" s="2"/>
      <c r="J386" s="2"/>
      <c r="K386" s="2"/>
      <c r="L386" s="2"/>
      <c r="M386" s="2"/>
      <c r="N386" s="2"/>
      <c r="O386" s="2"/>
      <c r="P386" s="2"/>
      <c r="Q386" s="2"/>
      <c r="R386" s="2"/>
      <c r="S386" s="2"/>
      <c r="T386" s="2"/>
      <c r="U386" s="2"/>
      <c r="V386" s="2"/>
      <c r="W386" s="2"/>
      <c r="X386" s="3"/>
      <c r="Y386" s="2"/>
      <c r="Z386" s="2"/>
      <c r="AA386" s="2"/>
      <c r="AB386" s="2"/>
      <c r="AC386" s="2"/>
      <c r="AD386" s="2"/>
      <c r="AE386" s="2"/>
      <c r="AF386" s="2"/>
      <c r="AG386" s="2"/>
      <c r="AH386" s="2"/>
      <c r="AI386" s="2"/>
      <c r="AJ386" s="2"/>
      <c r="AK386" s="2"/>
      <c r="AL386" s="2"/>
    </row>
    <row r="387">
      <c r="A387" s="1"/>
      <c r="B387" s="2"/>
      <c r="C387" s="2"/>
      <c r="D387" s="2"/>
      <c r="E387" s="2"/>
      <c r="F387" s="2"/>
      <c r="G387" s="2"/>
      <c r="H387" s="2"/>
      <c r="I387" s="2"/>
      <c r="J387" s="2"/>
      <c r="K387" s="2"/>
      <c r="L387" s="2"/>
      <c r="M387" s="2"/>
      <c r="N387" s="2"/>
      <c r="O387" s="2"/>
      <c r="P387" s="2"/>
      <c r="Q387" s="2"/>
      <c r="R387" s="2"/>
      <c r="S387" s="2"/>
      <c r="T387" s="2"/>
      <c r="U387" s="2"/>
      <c r="V387" s="2"/>
      <c r="W387" s="2"/>
      <c r="X387" s="3"/>
      <c r="Y387" s="2"/>
      <c r="Z387" s="2"/>
      <c r="AA387" s="2"/>
      <c r="AB387" s="2"/>
      <c r="AC387" s="2"/>
      <c r="AD387" s="2"/>
      <c r="AE387" s="2"/>
      <c r="AF387" s="2"/>
      <c r="AG387" s="2"/>
      <c r="AH387" s="2"/>
      <c r="AI387" s="2"/>
      <c r="AJ387" s="2"/>
      <c r="AK387" s="2"/>
      <c r="AL387" s="2"/>
    </row>
    <row r="388">
      <c r="A388" s="1"/>
      <c r="B388" s="2"/>
      <c r="C388" s="2"/>
      <c r="D388" s="2"/>
      <c r="E388" s="2"/>
      <c r="F388" s="2"/>
      <c r="G388" s="2"/>
      <c r="H388" s="2"/>
      <c r="I388" s="2"/>
      <c r="J388" s="2"/>
      <c r="K388" s="2"/>
      <c r="L388" s="2"/>
      <c r="M388" s="2"/>
      <c r="N388" s="2"/>
      <c r="O388" s="2"/>
      <c r="P388" s="2"/>
      <c r="Q388" s="2"/>
      <c r="R388" s="2"/>
      <c r="S388" s="2"/>
      <c r="T388" s="2"/>
      <c r="U388" s="2"/>
      <c r="V388" s="2"/>
      <c r="W388" s="2"/>
      <c r="X388" s="3"/>
      <c r="Y388" s="2"/>
      <c r="Z388" s="2"/>
      <c r="AA388" s="2"/>
      <c r="AB388" s="2"/>
      <c r="AC388" s="2"/>
      <c r="AD388" s="2"/>
      <c r="AE388" s="2"/>
      <c r="AF388" s="2"/>
      <c r="AG388" s="2"/>
      <c r="AH388" s="2"/>
      <c r="AI388" s="2"/>
      <c r="AJ388" s="2"/>
      <c r="AK388" s="2"/>
      <c r="AL388" s="2"/>
    </row>
    <row r="389">
      <c r="A389" s="1"/>
      <c r="B389" s="2"/>
      <c r="C389" s="2"/>
      <c r="D389" s="2"/>
      <c r="E389" s="2"/>
      <c r="F389" s="2"/>
      <c r="G389" s="2"/>
      <c r="H389" s="2"/>
      <c r="I389" s="2"/>
      <c r="J389" s="2"/>
      <c r="K389" s="2"/>
      <c r="L389" s="2"/>
      <c r="M389" s="2"/>
      <c r="N389" s="2"/>
      <c r="O389" s="2"/>
      <c r="P389" s="2"/>
      <c r="Q389" s="2"/>
      <c r="R389" s="2"/>
      <c r="S389" s="2"/>
      <c r="T389" s="2"/>
      <c r="U389" s="2"/>
      <c r="V389" s="2"/>
      <c r="W389" s="2"/>
      <c r="X389" s="3"/>
      <c r="Y389" s="2"/>
      <c r="Z389" s="2"/>
      <c r="AA389" s="2"/>
      <c r="AB389" s="2"/>
      <c r="AC389" s="2"/>
      <c r="AD389" s="2"/>
      <c r="AE389" s="2"/>
      <c r="AF389" s="2"/>
      <c r="AG389" s="2"/>
      <c r="AH389" s="2"/>
      <c r="AI389" s="2"/>
      <c r="AJ389" s="2"/>
      <c r="AK389" s="2"/>
      <c r="AL389" s="2"/>
    </row>
    <row r="390">
      <c r="A390" s="1"/>
      <c r="B390" s="2"/>
      <c r="C390" s="2"/>
      <c r="D390" s="2"/>
      <c r="E390" s="2"/>
      <c r="F390" s="2"/>
      <c r="G390" s="2"/>
      <c r="H390" s="2"/>
      <c r="I390" s="2"/>
      <c r="J390" s="2"/>
      <c r="K390" s="2"/>
      <c r="L390" s="2"/>
      <c r="M390" s="2"/>
      <c r="N390" s="2"/>
      <c r="O390" s="2"/>
      <c r="P390" s="2"/>
      <c r="Q390" s="2"/>
      <c r="R390" s="2"/>
      <c r="S390" s="2"/>
      <c r="T390" s="2"/>
      <c r="U390" s="2"/>
      <c r="V390" s="2"/>
      <c r="W390" s="2"/>
      <c r="X390" s="3"/>
      <c r="Y390" s="2"/>
      <c r="Z390" s="2"/>
      <c r="AA390" s="2"/>
      <c r="AB390" s="2"/>
      <c r="AC390" s="2"/>
      <c r="AD390" s="2"/>
      <c r="AE390" s="2"/>
      <c r="AF390" s="2"/>
      <c r="AG390" s="2"/>
      <c r="AH390" s="2"/>
      <c r="AI390" s="2"/>
      <c r="AJ390" s="2"/>
      <c r="AK390" s="2"/>
      <c r="AL390" s="2"/>
    </row>
    <row r="391">
      <c r="A391" s="1"/>
      <c r="B391" s="2"/>
      <c r="C391" s="2"/>
      <c r="D391" s="2"/>
      <c r="E391" s="2"/>
      <c r="F391" s="2"/>
      <c r="G391" s="2"/>
      <c r="H391" s="2"/>
      <c r="I391" s="2"/>
      <c r="J391" s="2"/>
      <c r="K391" s="2"/>
      <c r="L391" s="2"/>
      <c r="M391" s="2"/>
      <c r="N391" s="2"/>
      <c r="O391" s="2"/>
      <c r="P391" s="2"/>
      <c r="Q391" s="2"/>
      <c r="R391" s="2"/>
      <c r="S391" s="2"/>
      <c r="T391" s="2"/>
      <c r="U391" s="2"/>
      <c r="V391" s="2"/>
      <c r="W391" s="2"/>
      <c r="X391" s="3"/>
      <c r="Y391" s="2"/>
      <c r="Z391" s="2"/>
      <c r="AA391" s="2"/>
      <c r="AB391" s="2"/>
      <c r="AC391" s="2"/>
      <c r="AD391" s="2"/>
      <c r="AE391" s="2"/>
      <c r="AF391" s="2"/>
      <c r="AG391" s="2"/>
      <c r="AH391" s="2"/>
      <c r="AI391" s="2"/>
      <c r="AJ391" s="2"/>
      <c r="AK391" s="2"/>
      <c r="AL391" s="2"/>
    </row>
    <row r="392">
      <c r="A392" s="1"/>
      <c r="B392" s="2"/>
      <c r="C392" s="2"/>
      <c r="D392" s="2"/>
      <c r="E392" s="2"/>
      <c r="F392" s="2"/>
      <c r="G392" s="2"/>
      <c r="H392" s="2"/>
      <c r="I392" s="2"/>
      <c r="J392" s="2"/>
      <c r="K392" s="2"/>
      <c r="L392" s="2"/>
      <c r="M392" s="2"/>
      <c r="N392" s="2"/>
      <c r="O392" s="2"/>
      <c r="P392" s="2"/>
      <c r="Q392" s="2"/>
      <c r="R392" s="2"/>
      <c r="S392" s="2"/>
      <c r="T392" s="2"/>
      <c r="U392" s="2"/>
      <c r="V392" s="2"/>
      <c r="W392" s="2"/>
      <c r="X392" s="3"/>
      <c r="Y392" s="2"/>
      <c r="Z392" s="2"/>
      <c r="AA392" s="2"/>
      <c r="AB392" s="2"/>
      <c r="AC392" s="2"/>
      <c r="AD392" s="2"/>
      <c r="AE392" s="2"/>
      <c r="AF392" s="2"/>
      <c r="AG392" s="2"/>
      <c r="AH392" s="2"/>
      <c r="AI392" s="2"/>
      <c r="AJ392" s="2"/>
      <c r="AK392" s="2"/>
      <c r="AL392" s="2"/>
    </row>
    <row r="393">
      <c r="A393" s="1"/>
      <c r="B393" s="2"/>
      <c r="C393" s="2"/>
      <c r="D393" s="2"/>
      <c r="E393" s="2"/>
      <c r="F393" s="2"/>
      <c r="G393" s="2"/>
      <c r="H393" s="2"/>
      <c r="I393" s="2"/>
      <c r="J393" s="2"/>
      <c r="K393" s="2"/>
      <c r="L393" s="2"/>
      <c r="M393" s="2"/>
      <c r="N393" s="2"/>
      <c r="O393" s="2"/>
      <c r="P393" s="2"/>
      <c r="Q393" s="2"/>
      <c r="R393" s="2"/>
      <c r="S393" s="2"/>
      <c r="T393" s="2"/>
      <c r="U393" s="2"/>
      <c r="V393" s="2"/>
      <c r="W393" s="2"/>
      <c r="X393" s="3"/>
      <c r="Y393" s="2"/>
      <c r="Z393" s="2"/>
      <c r="AA393" s="2"/>
      <c r="AB393" s="2"/>
      <c r="AC393" s="2"/>
      <c r="AD393" s="2"/>
      <c r="AE393" s="2"/>
      <c r="AF393" s="2"/>
      <c r="AG393" s="2"/>
      <c r="AH393" s="2"/>
      <c r="AI393" s="2"/>
      <c r="AJ393" s="2"/>
      <c r="AK393" s="2"/>
      <c r="AL393" s="2"/>
    </row>
    <row r="394">
      <c r="A394" s="1"/>
      <c r="B394" s="2"/>
      <c r="C394" s="2"/>
      <c r="D394" s="2"/>
      <c r="E394" s="2"/>
      <c r="F394" s="2"/>
      <c r="G394" s="2"/>
      <c r="H394" s="2"/>
      <c r="I394" s="2"/>
      <c r="J394" s="2"/>
      <c r="K394" s="2"/>
      <c r="L394" s="2"/>
      <c r="M394" s="2"/>
      <c r="N394" s="2"/>
      <c r="O394" s="2"/>
      <c r="P394" s="2"/>
      <c r="Q394" s="2"/>
      <c r="R394" s="2"/>
      <c r="S394" s="2"/>
      <c r="T394" s="2"/>
      <c r="U394" s="2"/>
      <c r="V394" s="2"/>
      <c r="W394" s="2"/>
      <c r="X394" s="3"/>
      <c r="Y394" s="2"/>
      <c r="Z394" s="2"/>
      <c r="AA394" s="2"/>
      <c r="AB394" s="2"/>
      <c r="AC394" s="2"/>
      <c r="AD394" s="2"/>
      <c r="AE394" s="2"/>
      <c r="AF394" s="2"/>
      <c r="AG394" s="2"/>
      <c r="AH394" s="2"/>
      <c r="AI394" s="2"/>
      <c r="AJ394" s="2"/>
      <c r="AK394" s="2"/>
      <c r="AL394" s="2"/>
    </row>
    <row r="395">
      <c r="A395" s="1"/>
      <c r="B395" s="2"/>
      <c r="C395" s="2"/>
      <c r="D395" s="2"/>
      <c r="E395" s="2"/>
      <c r="F395" s="2"/>
      <c r="G395" s="2"/>
      <c r="H395" s="2"/>
      <c r="I395" s="2"/>
      <c r="J395" s="2"/>
      <c r="K395" s="2"/>
      <c r="L395" s="2"/>
      <c r="M395" s="2"/>
      <c r="N395" s="2"/>
      <c r="O395" s="2"/>
      <c r="P395" s="2"/>
      <c r="Q395" s="2"/>
      <c r="R395" s="2"/>
      <c r="S395" s="2"/>
      <c r="T395" s="2"/>
      <c r="U395" s="2"/>
      <c r="V395" s="2"/>
      <c r="W395" s="2"/>
      <c r="X395" s="3"/>
      <c r="Y395" s="2"/>
      <c r="Z395" s="2"/>
      <c r="AA395" s="2"/>
      <c r="AB395" s="2"/>
      <c r="AC395" s="2"/>
      <c r="AD395" s="2"/>
      <c r="AE395" s="2"/>
      <c r="AF395" s="2"/>
      <c r="AG395" s="2"/>
      <c r="AH395" s="2"/>
      <c r="AI395" s="2"/>
      <c r="AJ395" s="2"/>
      <c r="AK395" s="2"/>
      <c r="AL395" s="2"/>
    </row>
    <row r="396">
      <c r="A396" s="1"/>
      <c r="B396" s="2"/>
      <c r="C396" s="2"/>
      <c r="D396" s="2"/>
      <c r="E396" s="2"/>
      <c r="F396" s="2"/>
      <c r="G396" s="2"/>
      <c r="H396" s="2"/>
      <c r="I396" s="2"/>
      <c r="J396" s="2"/>
      <c r="K396" s="2"/>
      <c r="L396" s="2"/>
      <c r="M396" s="2"/>
      <c r="N396" s="2"/>
      <c r="O396" s="2"/>
      <c r="P396" s="2"/>
      <c r="Q396" s="2"/>
      <c r="R396" s="2"/>
      <c r="S396" s="2"/>
      <c r="T396" s="2"/>
      <c r="U396" s="2"/>
      <c r="V396" s="2"/>
      <c r="W396" s="2"/>
      <c r="X396" s="3"/>
      <c r="Y396" s="2"/>
      <c r="Z396" s="2"/>
      <c r="AA396" s="2"/>
      <c r="AB396" s="2"/>
      <c r="AC396" s="2"/>
      <c r="AD396" s="2"/>
      <c r="AE396" s="2"/>
      <c r="AF396" s="2"/>
      <c r="AG396" s="2"/>
      <c r="AH396" s="2"/>
      <c r="AI396" s="2"/>
      <c r="AJ396" s="2"/>
      <c r="AK396" s="2"/>
      <c r="AL396" s="2"/>
    </row>
    <row r="397">
      <c r="A397" s="1"/>
      <c r="B397" s="2"/>
      <c r="C397" s="2"/>
      <c r="D397" s="2"/>
      <c r="E397" s="2"/>
      <c r="F397" s="2"/>
      <c r="G397" s="2"/>
      <c r="H397" s="2"/>
      <c r="I397" s="2"/>
      <c r="J397" s="2"/>
      <c r="K397" s="2"/>
      <c r="L397" s="2"/>
      <c r="M397" s="2"/>
      <c r="N397" s="2"/>
      <c r="O397" s="2"/>
      <c r="P397" s="2"/>
      <c r="Q397" s="2"/>
      <c r="R397" s="2"/>
      <c r="S397" s="2"/>
      <c r="T397" s="2"/>
      <c r="U397" s="2"/>
      <c r="V397" s="2"/>
      <c r="W397" s="2"/>
      <c r="X397" s="3"/>
      <c r="Y397" s="2"/>
      <c r="Z397" s="2"/>
      <c r="AA397" s="2"/>
      <c r="AB397" s="2"/>
      <c r="AC397" s="2"/>
      <c r="AD397" s="2"/>
      <c r="AE397" s="2"/>
      <c r="AF397" s="2"/>
      <c r="AG397" s="2"/>
      <c r="AH397" s="2"/>
      <c r="AI397" s="2"/>
      <c r="AJ397" s="2"/>
      <c r="AK397" s="2"/>
      <c r="AL397" s="2"/>
    </row>
    <row r="398">
      <c r="A398" s="1"/>
      <c r="B398" s="2"/>
      <c r="C398" s="2"/>
      <c r="D398" s="2"/>
      <c r="E398" s="2"/>
      <c r="F398" s="2"/>
      <c r="G398" s="2"/>
      <c r="H398" s="2"/>
      <c r="I398" s="2"/>
      <c r="J398" s="2"/>
      <c r="K398" s="2"/>
      <c r="L398" s="2"/>
      <c r="M398" s="2"/>
      <c r="N398" s="2"/>
      <c r="O398" s="2"/>
      <c r="P398" s="2"/>
      <c r="Q398" s="2"/>
      <c r="R398" s="2"/>
      <c r="S398" s="2"/>
      <c r="T398" s="2"/>
      <c r="U398" s="2"/>
      <c r="V398" s="2"/>
      <c r="W398" s="2"/>
      <c r="X398" s="3"/>
      <c r="Y398" s="2"/>
      <c r="Z398" s="2"/>
      <c r="AA398" s="2"/>
      <c r="AB398" s="2"/>
      <c r="AC398" s="2"/>
      <c r="AD398" s="2"/>
      <c r="AE398" s="2"/>
      <c r="AF398" s="2"/>
      <c r="AG398" s="2"/>
      <c r="AH398" s="2"/>
      <c r="AI398" s="2"/>
      <c r="AJ398" s="2"/>
      <c r="AK398" s="2"/>
      <c r="AL398" s="2"/>
    </row>
    <row r="399">
      <c r="A399" s="1"/>
      <c r="B399" s="2"/>
      <c r="C399" s="2"/>
      <c r="D399" s="2"/>
      <c r="E399" s="2"/>
      <c r="F399" s="2"/>
      <c r="G399" s="2"/>
      <c r="H399" s="2"/>
      <c r="I399" s="2"/>
      <c r="J399" s="2"/>
      <c r="K399" s="2"/>
      <c r="L399" s="2"/>
      <c r="M399" s="2"/>
      <c r="N399" s="2"/>
      <c r="O399" s="2"/>
      <c r="P399" s="2"/>
      <c r="Q399" s="2"/>
      <c r="R399" s="2"/>
      <c r="S399" s="2"/>
      <c r="T399" s="2"/>
      <c r="U399" s="2"/>
      <c r="V399" s="2"/>
      <c r="W399" s="2"/>
      <c r="X399" s="3"/>
      <c r="Y399" s="2"/>
      <c r="Z399" s="2"/>
      <c r="AA399" s="2"/>
      <c r="AB399" s="2"/>
      <c r="AC399" s="2"/>
      <c r="AD399" s="2"/>
      <c r="AE399" s="2"/>
      <c r="AF399" s="2"/>
      <c r="AG399" s="2"/>
      <c r="AH399" s="2"/>
      <c r="AI399" s="2"/>
      <c r="AJ399" s="2"/>
      <c r="AK399" s="2"/>
      <c r="AL399" s="2"/>
    </row>
    <row r="400">
      <c r="A400" s="1"/>
      <c r="B400" s="2"/>
      <c r="C400" s="2"/>
      <c r="D400" s="2"/>
      <c r="E400" s="2"/>
      <c r="F400" s="2"/>
      <c r="G400" s="2"/>
      <c r="H400" s="2"/>
      <c r="I400" s="2"/>
      <c r="J400" s="2"/>
      <c r="K400" s="2"/>
      <c r="L400" s="2"/>
      <c r="M400" s="2"/>
      <c r="N400" s="2"/>
      <c r="O400" s="2"/>
      <c r="P400" s="2"/>
      <c r="Q400" s="2"/>
      <c r="R400" s="2"/>
      <c r="S400" s="2"/>
      <c r="T400" s="2"/>
      <c r="U400" s="2"/>
      <c r="V400" s="2"/>
      <c r="W400" s="2"/>
      <c r="X400" s="3"/>
      <c r="Y400" s="2"/>
      <c r="Z400" s="2"/>
      <c r="AA400" s="2"/>
      <c r="AB400" s="2"/>
      <c r="AC400" s="2"/>
      <c r="AD400" s="2"/>
      <c r="AE400" s="2"/>
      <c r="AF400" s="2"/>
      <c r="AG400" s="2"/>
      <c r="AH400" s="2"/>
      <c r="AI400" s="2"/>
      <c r="AJ400" s="2"/>
      <c r="AK400" s="2"/>
      <c r="AL400" s="2"/>
    </row>
    <row r="401">
      <c r="A401" s="1"/>
      <c r="B401" s="2"/>
      <c r="C401" s="2"/>
      <c r="D401" s="2"/>
      <c r="E401" s="2"/>
      <c r="F401" s="2"/>
      <c r="G401" s="2"/>
      <c r="H401" s="2"/>
      <c r="I401" s="2"/>
      <c r="J401" s="2"/>
      <c r="K401" s="2"/>
      <c r="L401" s="2"/>
      <c r="M401" s="2"/>
      <c r="N401" s="2"/>
      <c r="O401" s="2"/>
      <c r="P401" s="2"/>
      <c r="Q401" s="2"/>
      <c r="R401" s="2"/>
      <c r="S401" s="2"/>
      <c r="T401" s="2"/>
      <c r="U401" s="2"/>
      <c r="V401" s="2"/>
      <c r="W401" s="2"/>
      <c r="X401" s="3"/>
      <c r="Y401" s="2"/>
      <c r="Z401" s="2"/>
      <c r="AA401" s="2"/>
      <c r="AB401" s="2"/>
      <c r="AC401" s="2"/>
      <c r="AD401" s="2"/>
      <c r="AE401" s="2"/>
      <c r="AF401" s="2"/>
      <c r="AG401" s="2"/>
      <c r="AH401" s="2"/>
      <c r="AI401" s="2"/>
      <c r="AJ401" s="2"/>
      <c r="AK401" s="2"/>
      <c r="AL401" s="2"/>
    </row>
    <row r="402">
      <c r="A402" s="1"/>
      <c r="B402" s="2"/>
      <c r="C402" s="2"/>
      <c r="D402" s="2"/>
      <c r="E402" s="2"/>
      <c r="F402" s="2"/>
      <c r="G402" s="2"/>
      <c r="H402" s="2"/>
      <c r="I402" s="2"/>
      <c r="J402" s="2"/>
      <c r="K402" s="2"/>
      <c r="L402" s="2"/>
      <c r="M402" s="2"/>
      <c r="N402" s="2"/>
      <c r="O402" s="2"/>
      <c r="P402" s="2"/>
      <c r="Q402" s="2"/>
      <c r="R402" s="2"/>
      <c r="S402" s="2"/>
      <c r="T402" s="2"/>
      <c r="U402" s="2"/>
      <c r="V402" s="2"/>
      <c r="W402" s="2"/>
      <c r="X402" s="3"/>
      <c r="Y402" s="2"/>
      <c r="Z402" s="2"/>
      <c r="AA402" s="2"/>
      <c r="AB402" s="2"/>
      <c r="AC402" s="2"/>
      <c r="AD402" s="2"/>
      <c r="AE402" s="2"/>
      <c r="AF402" s="2"/>
      <c r="AG402" s="2"/>
      <c r="AH402" s="2"/>
      <c r="AI402" s="2"/>
      <c r="AJ402" s="2"/>
      <c r="AK402" s="2"/>
      <c r="AL402" s="2"/>
    </row>
    <row r="403">
      <c r="A403" s="1"/>
      <c r="B403" s="2"/>
      <c r="C403" s="2"/>
      <c r="D403" s="2"/>
      <c r="E403" s="2"/>
      <c r="F403" s="2"/>
      <c r="G403" s="2"/>
      <c r="H403" s="2"/>
      <c r="I403" s="2"/>
      <c r="J403" s="2"/>
      <c r="K403" s="2"/>
      <c r="L403" s="2"/>
      <c r="M403" s="2"/>
      <c r="N403" s="2"/>
      <c r="O403" s="2"/>
      <c r="P403" s="2"/>
      <c r="Q403" s="2"/>
      <c r="R403" s="2"/>
      <c r="S403" s="2"/>
      <c r="T403" s="2"/>
      <c r="U403" s="2"/>
      <c r="V403" s="2"/>
      <c r="W403" s="2"/>
      <c r="X403" s="3"/>
      <c r="Y403" s="2"/>
      <c r="Z403" s="2"/>
      <c r="AA403" s="2"/>
      <c r="AB403" s="2"/>
      <c r="AC403" s="2"/>
      <c r="AD403" s="2"/>
      <c r="AE403" s="2"/>
      <c r="AF403" s="2"/>
      <c r="AG403" s="2"/>
      <c r="AH403" s="2"/>
      <c r="AI403" s="2"/>
      <c r="AJ403" s="2"/>
      <c r="AK403" s="2"/>
      <c r="AL403" s="2"/>
    </row>
    <row r="404">
      <c r="A404" s="1"/>
      <c r="B404" s="2"/>
      <c r="C404" s="2"/>
      <c r="D404" s="2"/>
      <c r="E404" s="2"/>
      <c r="F404" s="2"/>
      <c r="G404" s="2"/>
      <c r="H404" s="2"/>
      <c r="I404" s="2"/>
      <c r="J404" s="2"/>
      <c r="K404" s="2"/>
      <c r="L404" s="2"/>
      <c r="M404" s="2"/>
      <c r="N404" s="2"/>
      <c r="O404" s="2"/>
      <c r="P404" s="2"/>
      <c r="Q404" s="2"/>
      <c r="R404" s="2"/>
      <c r="S404" s="2"/>
      <c r="T404" s="2"/>
      <c r="U404" s="2"/>
      <c r="V404" s="2"/>
      <c r="W404" s="2"/>
      <c r="X404" s="3"/>
      <c r="Y404" s="2"/>
      <c r="Z404" s="2"/>
      <c r="AA404" s="2"/>
      <c r="AB404" s="2"/>
      <c r="AC404" s="2"/>
      <c r="AD404" s="2"/>
      <c r="AE404" s="2"/>
      <c r="AF404" s="2"/>
      <c r="AG404" s="2"/>
      <c r="AH404" s="2"/>
      <c r="AI404" s="2"/>
      <c r="AJ404" s="2"/>
      <c r="AK404" s="2"/>
      <c r="AL404" s="2"/>
    </row>
    <row r="405">
      <c r="A405" s="1"/>
      <c r="B405" s="2"/>
      <c r="C405" s="2"/>
      <c r="D405" s="2"/>
      <c r="E405" s="2"/>
      <c r="F405" s="2"/>
      <c r="G405" s="2"/>
      <c r="H405" s="2"/>
      <c r="I405" s="2"/>
      <c r="J405" s="2"/>
      <c r="K405" s="2"/>
      <c r="L405" s="2"/>
      <c r="M405" s="2"/>
      <c r="N405" s="2"/>
      <c r="O405" s="2"/>
      <c r="P405" s="2"/>
      <c r="Q405" s="2"/>
      <c r="R405" s="2"/>
      <c r="S405" s="2"/>
      <c r="T405" s="2"/>
      <c r="U405" s="2"/>
      <c r="V405" s="2"/>
      <c r="W405" s="2"/>
      <c r="X405" s="3"/>
      <c r="Y405" s="2"/>
      <c r="Z405" s="2"/>
      <c r="AA405" s="2"/>
      <c r="AB405" s="2"/>
      <c r="AC405" s="2"/>
      <c r="AD405" s="2"/>
      <c r="AE405" s="2"/>
      <c r="AF405" s="2"/>
      <c r="AG405" s="2"/>
      <c r="AH405" s="2"/>
      <c r="AI405" s="2"/>
      <c r="AJ405" s="2"/>
      <c r="AK405" s="2"/>
      <c r="AL405" s="2"/>
    </row>
    <row r="406">
      <c r="A406" s="1"/>
      <c r="B406" s="2"/>
      <c r="C406" s="2"/>
      <c r="D406" s="2"/>
      <c r="E406" s="2"/>
      <c r="F406" s="2"/>
      <c r="G406" s="2"/>
      <c r="H406" s="2"/>
      <c r="I406" s="2"/>
      <c r="J406" s="2"/>
      <c r="K406" s="2"/>
      <c r="L406" s="2"/>
      <c r="M406" s="2"/>
      <c r="N406" s="2"/>
      <c r="O406" s="2"/>
      <c r="P406" s="2"/>
      <c r="Q406" s="2"/>
      <c r="R406" s="2"/>
      <c r="S406" s="2"/>
      <c r="T406" s="2"/>
      <c r="U406" s="2"/>
      <c r="V406" s="2"/>
      <c r="W406" s="2"/>
      <c r="X406" s="3"/>
      <c r="Y406" s="2"/>
      <c r="Z406" s="2"/>
      <c r="AA406" s="2"/>
      <c r="AB406" s="2"/>
      <c r="AC406" s="2"/>
      <c r="AD406" s="2"/>
      <c r="AE406" s="2"/>
      <c r="AF406" s="2"/>
      <c r="AG406" s="2"/>
      <c r="AH406" s="2"/>
      <c r="AI406" s="2"/>
      <c r="AJ406" s="2"/>
      <c r="AK406" s="2"/>
      <c r="AL406" s="2"/>
    </row>
    <row r="407">
      <c r="A407" s="1"/>
      <c r="B407" s="2"/>
      <c r="C407" s="2"/>
      <c r="D407" s="2"/>
      <c r="E407" s="2"/>
      <c r="F407" s="2"/>
      <c r="G407" s="2"/>
      <c r="H407" s="2"/>
      <c r="I407" s="2"/>
      <c r="J407" s="2"/>
      <c r="K407" s="2"/>
      <c r="L407" s="2"/>
      <c r="M407" s="2"/>
      <c r="N407" s="2"/>
      <c r="O407" s="2"/>
      <c r="P407" s="2"/>
      <c r="Q407" s="2"/>
      <c r="R407" s="2"/>
      <c r="S407" s="2"/>
      <c r="T407" s="2"/>
      <c r="U407" s="2"/>
      <c r="V407" s="2"/>
      <c r="W407" s="2"/>
      <c r="X407" s="3"/>
      <c r="Y407" s="2"/>
      <c r="Z407" s="2"/>
      <c r="AA407" s="2"/>
      <c r="AB407" s="2"/>
      <c r="AC407" s="2"/>
      <c r="AD407" s="2"/>
      <c r="AE407" s="2"/>
      <c r="AF407" s="2"/>
      <c r="AG407" s="2"/>
      <c r="AH407" s="2"/>
      <c r="AI407" s="2"/>
      <c r="AJ407" s="2"/>
      <c r="AK407" s="2"/>
      <c r="AL407" s="2"/>
    </row>
    <row r="408">
      <c r="A408" s="1"/>
      <c r="B408" s="2"/>
      <c r="C408" s="2"/>
      <c r="D408" s="2"/>
      <c r="E408" s="2"/>
      <c r="F408" s="2"/>
      <c r="G408" s="2"/>
      <c r="H408" s="2"/>
      <c r="I408" s="2"/>
      <c r="J408" s="2"/>
      <c r="K408" s="2"/>
      <c r="L408" s="2"/>
      <c r="M408" s="2"/>
      <c r="N408" s="2"/>
      <c r="O408" s="2"/>
      <c r="P408" s="2"/>
      <c r="Q408" s="2"/>
      <c r="R408" s="2"/>
      <c r="S408" s="2"/>
      <c r="T408" s="2"/>
      <c r="U408" s="2"/>
      <c r="V408" s="2"/>
      <c r="W408" s="2"/>
      <c r="X408" s="3"/>
      <c r="Y408" s="2"/>
      <c r="Z408" s="2"/>
      <c r="AA408" s="2"/>
      <c r="AB408" s="2"/>
      <c r="AC408" s="2"/>
      <c r="AD408" s="2"/>
      <c r="AE408" s="2"/>
      <c r="AF408" s="2"/>
      <c r="AG408" s="2"/>
      <c r="AH408" s="2"/>
      <c r="AI408" s="2"/>
      <c r="AJ408" s="2"/>
      <c r="AK408" s="2"/>
      <c r="AL408" s="2"/>
    </row>
    <row r="409">
      <c r="A409" s="1"/>
      <c r="B409" s="2"/>
      <c r="C409" s="2"/>
      <c r="D409" s="2"/>
      <c r="E409" s="2"/>
      <c r="F409" s="2"/>
      <c r="G409" s="2"/>
      <c r="H409" s="2"/>
      <c r="I409" s="2"/>
      <c r="J409" s="2"/>
      <c r="K409" s="2"/>
      <c r="L409" s="2"/>
      <c r="M409" s="2"/>
      <c r="N409" s="2"/>
      <c r="O409" s="2"/>
      <c r="P409" s="2"/>
      <c r="Q409" s="2"/>
      <c r="R409" s="2"/>
      <c r="S409" s="2"/>
      <c r="T409" s="2"/>
      <c r="U409" s="2"/>
      <c r="V409" s="2"/>
      <c r="W409" s="2"/>
      <c r="X409" s="3"/>
      <c r="Y409" s="2"/>
      <c r="Z409" s="2"/>
      <c r="AA409" s="2"/>
      <c r="AB409" s="2"/>
      <c r="AC409" s="2"/>
      <c r="AD409" s="2"/>
      <c r="AE409" s="2"/>
      <c r="AF409" s="2"/>
      <c r="AG409" s="2"/>
      <c r="AH409" s="2"/>
      <c r="AI409" s="2"/>
      <c r="AJ409" s="2"/>
      <c r="AK409" s="2"/>
      <c r="AL409" s="2"/>
    </row>
    <row r="410">
      <c r="A410" s="1"/>
      <c r="B410" s="2"/>
      <c r="C410" s="2"/>
      <c r="D410" s="2"/>
      <c r="E410" s="2"/>
      <c r="F410" s="2"/>
      <c r="G410" s="2"/>
      <c r="H410" s="2"/>
      <c r="I410" s="2"/>
      <c r="J410" s="2"/>
      <c r="K410" s="2"/>
      <c r="L410" s="2"/>
      <c r="M410" s="2"/>
      <c r="N410" s="2"/>
      <c r="O410" s="2"/>
      <c r="P410" s="2"/>
      <c r="Q410" s="2"/>
      <c r="R410" s="2"/>
      <c r="S410" s="2"/>
      <c r="T410" s="2"/>
      <c r="U410" s="2"/>
      <c r="V410" s="2"/>
      <c r="W410" s="2"/>
      <c r="X410" s="3"/>
      <c r="Y410" s="2"/>
      <c r="Z410" s="2"/>
      <c r="AA410" s="2"/>
      <c r="AB410" s="2"/>
      <c r="AC410" s="2"/>
      <c r="AD410" s="2"/>
      <c r="AE410" s="2"/>
      <c r="AF410" s="2"/>
      <c r="AG410" s="2"/>
      <c r="AH410" s="2"/>
      <c r="AI410" s="2"/>
      <c r="AJ410" s="2"/>
      <c r="AK410" s="2"/>
      <c r="AL410" s="2"/>
    </row>
    <row r="411">
      <c r="A411" s="1"/>
      <c r="B411" s="2"/>
      <c r="C411" s="2"/>
      <c r="D411" s="2"/>
      <c r="E411" s="2"/>
      <c r="F411" s="2"/>
      <c r="G411" s="2"/>
      <c r="H411" s="2"/>
      <c r="I411" s="2"/>
      <c r="J411" s="2"/>
      <c r="K411" s="2"/>
      <c r="L411" s="2"/>
      <c r="M411" s="2"/>
      <c r="N411" s="2"/>
      <c r="O411" s="2"/>
      <c r="P411" s="2"/>
      <c r="Q411" s="2"/>
      <c r="R411" s="2"/>
      <c r="S411" s="2"/>
      <c r="T411" s="2"/>
      <c r="U411" s="2"/>
      <c r="V411" s="2"/>
      <c r="W411" s="2"/>
      <c r="X411" s="3"/>
      <c r="Y411" s="2"/>
      <c r="Z411" s="2"/>
      <c r="AA411" s="2"/>
      <c r="AB411" s="2"/>
      <c r="AC411" s="2"/>
      <c r="AD411" s="2"/>
      <c r="AE411" s="2"/>
      <c r="AF411" s="2"/>
      <c r="AG411" s="2"/>
      <c r="AH411" s="2"/>
      <c r="AI411" s="2"/>
      <c r="AJ411" s="2"/>
      <c r="AK411" s="2"/>
      <c r="AL411" s="2"/>
    </row>
    <row r="412">
      <c r="A412" s="1"/>
      <c r="B412" s="2"/>
      <c r="C412" s="2"/>
      <c r="D412" s="2"/>
      <c r="E412" s="2"/>
      <c r="F412" s="2"/>
      <c r="G412" s="2"/>
      <c r="H412" s="2"/>
      <c r="I412" s="2"/>
      <c r="J412" s="2"/>
      <c r="K412" s="2"/>
      <c r="L412" s="2"/>
      <c r="M412" s="2"/>
      <c r="N412" s="2"/>
      <c r="O412" s="2"/>
      <c r="P412" s="2"/>
      <c r="Q412" s="2"/>
      <c r="R412" s="2"/>
      <c r="S412" s="2"/>
      <c r="T412" s="2"/>
      <c r="U412" s="2"/>
      <c r="V412" s="2"/>
      <c r="W412" s="2"/>
      <c r="X412" s="3"/>
      <c r="Y412" s="2"/>
      <c r="Z412" s="2"/>
      <c r="AA412" s="2"/>
      <c r="AB412" s="2"/>
      <c r="AC412" s="2"/>
      <c r="AD412" s="2"/>
      <c r="AE412" s="2"/>
      <c r="AF412" s="2"/>
      <c r="AG412" s="2"/>
      <c r="AH412" s="2"/>
      <c r="AI412" s="2"/>
      <c r="AJ412" s="2"/>
      <c r="AK412" s="2"/>
      <c r="AL412" s="2"/>
    </row>
    <row r="413">
      <c r="A413" s="1"/>
      <c r="B413" s="2"/>
      <c r="C413" s="2"/>
      <c r="D413" s="2"/>
      <c r="E413" s="2"/>
      <c r="F413" s="2"/>
      <c r="G413" s="2"/>
      <c r="H413" s="2"/>
      <c r="I413" s="2"/>
      <c r="J413" s="2"/>
      <c r="K413" s="2"/>
      <c r="L413" s="2"/>
      <c r="M413" s="2"/>
      <c r="N413" s="2"/>
      <c r="O413" s="2"/>
      <c r="P413" s="2"/>
      <c r="Q413" s="2"/>
      <c r="R413" s="2"/>
      <c r="S413" s="2"/>
      <c r="T413" s="2"/>
      <c r="U413" s="2"/>
      <c r="V413" s="2"/>
      <c r="W413" s="2"/>
      <c r="X413" s="3"/>
      <c r="Y413" s="2"/>
      <c r="Z413" s="2"/>
      <c r="AA413" s="2"/>
      <c r="AB413" s="2"/>
      <c r="AC413" s="2"/>
      <c r="AD413" s="2"/>
      <c r="AE413" s="2"/>
      <c r="AF413" s="2"/>
      <c r="AG413" s="2"/>
      <c r="AH413" s="2"/>
      <c r="AI413" s="2"/>
      <c r="AJ413" s="2"/>
      <c r="AK413" s="2"/>
      <c r="AL413" s="2"/>
    </row>
    <row r="414">
      <c r="A414" s="1"/>
      <c r="B414" s="2"/>
      <c r="C414" s="2"/>
      <c r="D414" s="2"/>
      <c r="E414" s="2"/>
      <c r="F414" s="2"/>
      <c r="G414" s="2"/>
      <c r="H414" s="2"/>
      <c r="I414" s="2"/>
      <c r="J414" s="2"/>
      <c r="K414" s="2"/>
      <c r="L414" s="2"/>
      <c r="M414" s="2"/>
      <c r="N414" s="2"/>
      <c r="O414" s="2"/>
      <c r="P414" s="2"/>
      <c r="Q414" s="2"/>
      <c r="R414" s="2"/>
      <c r="S414" s="2"/>
      <c r="T414" s="2"/>
      <c r="U414" s="2"/>
      <c r="V414" s="2"/>
      <c r="W414" s="2"/>
      <c r="X414" s="3"/>
      <c r="Y414" s="2"/>
      <c r="Z414" s="2"/>
      <c r="AA414" s="2"/>
      <c r="AB414" s="2"/>
      <c r="AC414" s="2"/>
      <c r="AD414" s="2"/>
      <c r="AE414" s="2"/>
      <c r="AF414" s="2"/>
      <c r="AG414" s="2"/>
      <c r="AH414" s="2"/>
      <c r="AI414" s="2"/>
      <c r="AJ414" s="2"/>
      <c r="AK414" s="2"/>
      <c r="AL414" s="2"/>
    </row>
    <row r="415">
      <c r="A415" s="1"/>
      <c r="B415" s="2"/>
      <c r="C415" s="2"/>
      <c r="D415" s="2"/>
      <c r="E415" s="2"/>
      <c r="F415" s="2"/>
      <c r="G415" s="2"/>
      <c r="H415" s="2"/>
      <c r="I415" s="2"/>
      <c r="J415" s="2"/>
      <c r="K415" s="2"/>
      <c r="L415" s="2"/>
      <c r="M415" s="2"/>
      <c r="N415" s="2"/>
      <c r="O415" s="2"/>
      <c r="P415" s="2"/>
      <c r="Q415" s="2"/>
      <c r="R415" s="2"/>
      <c r="S415" s="2"/>
      <c r="T415" s="2"/>
      <c r="U415" s="2"/>
      <c r="V415" s="2"/>
      <c r="W415" s="2"/>
      <c r="X415" s="3"/>
      <c r="Y415" s="2"/>
      <c r="Z415" s="2"/>
      <c r="AA415" s="2"/>
      <c r="AB415" s="2"/>
      <c r="AC415" s="2"/>
      <c r="AD415" s="2"/>
      <c r="AE415" s="2"/>
      <c r="AF415" s="2"/>
      <c r="AG415" s="2"/>
      <c r="AH415" s="2"/>
      <c r="AI415" s="2"/>
      <c r="AJ415" s="2"/>
      <c r="AK415" s="2"/>
      <c r="AL415" s="2"/>
    </row>
    <row r="416">
      <c r="A416" s="1"/>
      <c r="B416" s="2"/>
      <c r="C416" s="2"/>
      <c r="D416" s="2"/>
      <c r="E416" s="2"/>
      <c r="F416" s="2"/>
      <c r="G416" s="2"/>
      <c r="H416" s="2"/>
      <c r="I416" s="2"/>
      <c r="J416" s="2"/>
      <c r="K416" s="2"/>
      <c r="L416" s="2"/>
      <c r="M416" s="2"/>
      <c r="N416" s="2"/>
      <c r="O416" s="2"/>
      <c r="P416" s="2"/>
      <c r="Q416" s="2"/>
      <c r="R416" s="2"/>
      <c r="S416" s="2"/>
      <c r="T416" s="2"/>
      <c r="U416" s="2"/>
      <c r="V416" s="2"/>
      <c r="W416" s="2"/>
      <c r="X416" s="3"/>
      <c r="Y416" s="2"/>
      <c r="Z416" s="2"/>
      <c r="AA416" s="2"/>
      <c r="AB416" s="2"/>
      <c r="AC416" s="2"/>
      <c r="AD416" s="2"/>
      <c r="AE416" s="2"/>
      <c r="AF416" s="2"/>
      <c r="AG416" s="2"/>
      <c r="AH416" s="2"/>
      <c r="AI416" s="2"/>
      <c r="AJ416" s="2"/>
      <c r="AK416" s="2"/>
      <c r="AL416" s="2"/>
    </row>
    <row r="417">
      <c r="A417" s="1"/>
      <c r="B417" s="2"/>
      <c r="C417" s="2"/>
      <c r="D417" s="2"/>
      <c r="E417" s="2"/>
      <c r="F417" s="2"/>
      <c r="G417" s="2"/>
      <c r="H417" s="2"/>
      <c r="I417" s="2"/>
      <c r="J417" s="2"/>
      <c r="K417" s="2"/>
      <c r="L417" s="2"/>
      <c r="M417" s="2"/>
      <c r="N417" s="2"/>
      <c r="O417" s="2"/>
      <c r="P417" s="2"/>
      <c r="Q417" s="2"/>
      <c r="R417" s="2"/>
      <c r="S417" s="2"/>
      <c r="T417" s="2"/>
      <c r="U417" s="2"/>
      <c r="V417" s="2"/>
      <c r="W417" s="2"/>
      <c r="X417" s="3"/>
      <c r="Y417" s="2"/>
      <c r="Z417" s="2"/>
      <c r="AA417" s="2"/>
      <c r="AB417" s="2"/>
      <c r="AC417" s="2"/>
      <c r="AD417" s="2"/>
      <c r="AE417" s="2"/>
      <c r="AF417" s="2"/>
      <c r="AG417" s="2"/>
      <c r="AH417" s="2"/>
      <c r="AI417" s="2"/>
      <c r="AJ417" s="2"/>
      <c r="AK417" s="2"/>
      <c r="AL417" s="2"/>
    </row>
    <row r="418">
      <c r="A418" s="1"/>
      <c r="B418" s="2"/>
      <c r="C418" s="2"/>
      <c r="D418" s="2"/>
      <c r="E418" s="2"/>
      <c r="F418" s="2"/>
      <c r="G418" s="2"/>
      <c r="H418" s="2"/>
      <c r="I418" s="2"/>
      <c r="J418" s="2"/>
      <c r="K418" s="2"/>
      <c r="L418" s="2"/>
      <c r="M418" s="2"/>
      <c r="N418" s="2"/>
      <c r="O418" s="2"/>
      <c r="P418" s="2"/>
      <c r="Q418" s="2"/>
      <c r="R418" s="2"/>
      <c r="S418" s="2"/>
      <c r="T418" s="2"/>
      <c r="U418" s="2"/>
      <c r="V418" s="2"/>
      <c r="W418" s="2"/>
      <c r="X418" s="3"/>
      <c r="Y418" s="2"/>
      <c r="Z418" s="2"/>
      <c r="AA418" s="2"/>
      <c r="AB418" s="2"/>
      <c r="AC418" s="2"/>
      <c r="AD418" s="2"/>
      <c r="AE418" s="2"/>
      <c r="AF418" s="2"/>
      <c r="AG418" s="2"/>
      <c r="AH418" s="2"/>
      <c r="AI418" s="2"/>
      <c r="AJ418" s="2"/>
      <c r="AK418" s="2"/>
      <c r="AL418" s="2"/>
    </row>
    <row r="419">
      <c r="A419" s="1"/>
      <c r="B419" s="2"/>
      <c r="C419" s="2"/>
      <c r="D419" s="2"/>
      <c r="E419" s="2"/>
      <c r="F419" s="2"/>
      <c r="G419" s="2"/>
      <c r="H419" s="2"/>
      <c r="I419" s="2"/>
      <c r="J419" s="2"/>
      <c r="K419" s="2"/>
      <c r="L419" s="2"/>
      <c r="M419" s="2"/>
      <c r="N419" s="2"/>
      <c r="O419" s="2"/>
      <c r="P419" s="2"/>
      <c r="Q419" s="2"/>
      <c r="R419" s="2"/>
      <c r="S419" s="2"/>
      <c r="T419" s="2"/>
      <c r="U419" s="2"/>
      <c r="V419" s="2"/>
      <c r="W419" s="2"/>
      <c r="X419" s="3"/>
      <c r="Y419" s="2"/>
      <c r="Z419" s="2"/>
      <c r="AA419" s="2"/>
      <c r="AB419" s="2"/>
      <c r="AC419" s="2"/>
      <c r="AD419" s="2"/>
      <c r="AE419" s="2"/>
      <c r="AF419" s="2"/>
      <c r="AG419" s="2"/>
      <c r="AH419" s="2"/>
      <c r="AI419" s="2"/>
      <c r="AJ419" s="2"/>
      <c r="AK419" s="2"/>
      <c r="AL419" s="2"/>
    </row>
    <row r="420">
      <c r="A420" s="1"/>
      <c r="B420" s="2"/>
      <c r="C420" s="2"/>
      <c r="D420" s="2"/>
      <c r="E420" s="2"/>
      <c r="F420" s="2"/>
      <c r="G420" s="2"/>
      <c r="H420" s="2"/>
      <c r="I420" s="2"/>
      <c r="J420" s="2"/>
      <c r="K420" s="2"/>
      <c r="L420" s="2"/>
      <c r="M420" s="2"/>
      <c r="N420" s="2"/>
      <c r="O420" s="2"/>
      <c r="P420" s="2"/>
      <c r="Q420" s="2"/>
      <c r="R420" s="2"/>
      <c r="S420" s="2"/>
      <c r="T420" s="2"/>
      <c r="U420" s="2"/>
      <c r="V420" s="2"/>
      <c r="W420" s="2"/>
      <c r="X420" s="3"/>
      <c r="Y420" s="2"/>
      <c r="Z420" s="2"/>
      <c r="AA420" s="2"/>
      <c r="AB420" s="2"/>
      <c r="AC420" s="2"/>
      <c r="AD420" s="2"/>
      <c r="AE420" s="2"/>
      <c r="AF420" s="2"/>
      <c r="AG420" s="2"/>
      <c r="AH420" s="2"/>
      <c r="AI420" s="2"/>
      <c r="AJ420" s="2"/>
      <c r="AK420" s="2"/>
      <c r="AL420" s="2"/>
    </row>
    <row r="421">
      <c r="A421" s="1"/>
      <c r="B421" s="2"/>
      <c r="C421" s="2"/>
      <c r="D421" s="2"/>
      <c r="E421" s="2"/>
      <c r="F421" s="2"/>
      <c r="G421" s="2"/>
      <c r="H421" s="2"/>
      <c r="I421" s="2"/>
      <c r="J421" s="2"/>
      <c r="K421" s="2"/>
      <c r="L421" s="2"/>
      <c r="M421" s="2"/>
      <c r="N421" s="2"/>
      <c r="O421" s="2"/>
      <c r="P421" s="2"/>
      <c r="Q421" s="2"/>
      <c r="R421" s="2"/>
      <c r="S421" s="2"/>
      <c r="T421" s="2"/>
      <c r="U421" s="2"/>
      <c r="V421" s="2"/>
      <c r="W421" s="2"/>
      <c r="X421" s="3"/>
      <c r="Y421" s="2"/>
      <c r="Z421" s="2"/>
      <c r="AA421" s="2"/>
      <c r="AB421" s="2"/>
      <c r="AC421" s="2"/>
      <c r="AD421" s="2"/>
      <c r="AE421" s="2"/>
      <c r="AF421" s="2"/>
      <c r="AG421" s="2"/>
      <c r="AH421" s="2"/>
      <c r="AI421" s="2"/>
      <c r="AJ421" s="2"/>
      <c r="AK421" s="2"/>
      <c r="AL421" s="2"/>
    </row>
    <row r="422">
      <c r="A422" s="1"/>
      <c r="B422" s="2"/>
      <c r="C422" s="2"/>
      <c r="D422" s="2"/>
      <c r="E422" s="2"/>
      <c r="F422" s="2"/>
      <c r="G422" s="2"/>
      <c r="H422" s="2"/>
      <c r="I422" s="2"/>
      <c r="J422" s="2"/>
      <c r="K422" s="2"/>
      <c r="L422" s="2"/>
      <c r="M422" s="2"/>
      <c r="N422" s="2"/>
      <c r="O422" s="2"/>
      <c r="P422" s="2"/>
      <c r="Q422" s="2"/>
      <c r="R422" s="2"/>
      <c r="S422" s="2"/>
      <c r="T422" s="2"/>
      <c r="U422" s="2"/>
      <c r="V422" s="2"/>
      <c r="W422" s="2"/>
      <c r="X422" s="3"/>
      <c r="Y422" s="2"/>
      <c r="Z422" s="2"/>
      <c r="AA422" s="2"/>
      <c r="AB422" s="2"/>
      <c r="AC422" s="2"/>
      <c r="AD422" s="2"/>
      <c r="AE422" s="2"/>
      <c r="AF422" s="2"/>
      <c r="AG422" s="2"/>
      <c r="AH422" s="2"/>
      <c r="AI422" s="2"/>
      <c r="AJ422" s="2"/>
      <c r="AK422" s="2"/>
      <c r="AL422" s="2"/>
    </row>
    <row r="423">
      <c r="A423" s="1"/>
      <c r="B423" s="2"/>
      <c r="C423" s="2"/>
      <c r="D423" s="2"/>
      <c r="E423" s="2"/>
      <c r="F423" s="2"/>
      <c r="G423" s="2"/>
      <c r="H423" s="2"/>
      <c r="I423" s="2"/>
      <c r="J423" s="2"/>
      <c r="K423" s="2"/>
      <c r="L423" s="2"/>
      <c r="M423" s="2"/>
      <c r="N423" s="2"/>
      <c r="O423" s="2"/>
      <c r="P423" s="2"/>
      <c r="Q423" s="2"/>
      <c r="R423" s="2"/>
      <c r="S423" s="2"/>
      <c r="T423" s="2"/>
      <c r="U423" s="2"/>
      <c r="V423" s="2"/>
      <c r="W423" s="2"/>
      <c r="X423" s="3"/>
      <c r="Y423" s="2"/>
      <c r="Z423" s="2"/>
      <c r="AA423" s="2"/>
      <c r="AB423" s="2"/>
      <c r="AC423" s="2"/>
      <c r="AD423" s="2"/>
      <c r="AE423" s="2"/>
      <c r="AF423" s="2"/>
      <c r="AG423" s="2"/>
      <c r="AH423" s="2"/>
      <c r="AI423" s="2"/>
      <c r="AJ423" s="2"/>
      <c r="AK423" s="2"/>
      <c r="AL423" s="2"/>
    </row>
    <row r="424">
      <c r="A424" s="1"/>
      <c r="B424" s="2"/>
      <c r="C424" s="2"/>
      <c r="D424" s="2"/>
      <c r="E424" s="2"/>
      <c r="F424" s="2"/>
      <c r="G424" s="2"/>
      <c r="H424" s="2"/>
      <c r="I424" s="2"/>
      <c r="J424" s="2"/>
      <c r="K424" s="2"/>
      <c r="L424" s="2"/>
      <c r="M424" s="2"/>
      <c r="N424" s="2"/>
      <c r="O424" s="2"/>
      <c r="P424" s="2"/>
      <c r="Q424" s="2"/>
      <c r="R424" s="2"/>
      <c r="S424" s="2"/>
      <c r="T424" s="2"/>
      <c r="U424" s="2"/>
      <c r="V424" s="2"/>
      <c r="W424" s="2"/>
      <c r="X424" s="3"/>
      <c r="Y424" s="2"/>
      <c r="Z424" s="2"/>
      <c r="AA424" s="2"/>
      <c r="AB424" s="2"/>
      <c r="AC424" s="2"/>
      <c r="AD424" s="2"/>
      <c r="AE424" s="2"/>
      <c r="AF424" s="2"/>
      <c r="AG424" s="2"/>
      <c r="AH424" s="2"/>
      <c r="AI424" s="2"/>
      <c r="AJ424" s="2"/>
      <c r="AK424" s="2"/>
      <c r="AL424" s="2"/>
    </row>
    <row r="425">
      <c r="A425" s="1"/>
      <c r="B425" s="2"/>
      <c r="C425" s="2"/>
      <c r="D425" s="2"/>
      <c r="E425" s="2"/>
      <c r="F425" s="2"/>
      <c r="G425" s="2"/>
      <c r="H425" s="2"/>
      <c r="I425" s="2"/>
      <c r="J425" s="2"/>
      <c r="K425" s="2"/>
      <c r="L425" s="2"/>
      <c r="M425" s="2"/>
      <c r="N425" s="2"/>
      <c r="O425" s="2"/>
      <c r="P425" s="2"/>
      <c r="Q425" s="2"/>
      <c r="R425" s="2"/>
      <c r="S425" s="2"/>
      <c r="T425" s="2"/>
      <c r="U425" s="2"/>
      <c r="V425" s="2"/>
      <c r="W425" s="2"/>
      <c r="X425" s="3"/>
      <c r="Y425" s="2"/>
      <c r="Z425" s="2"/>
      <c r="AA425" s="2"/>
      <c r="AB425" s="2"/>
      <c r="AC425" s="2"/>
      <c r="AD425" s="2"/>
      <c r="AE425" s="2"/>
      <c r="AF425" s="2"/>
      <c r="AG425" s="2"/>
      <c r="AH425" s="2"/>
      <c r="AI425" s="2"/>
      <c r="AJ425" s="2"/>
      <c r="AK425" s="2"/>
      <c r="AL425" s="2"/>
    </row>
    <row r="426">
      <c r="A426" s="1"/>
      <c r="B426" s="2"/>
      <c r="C426" s="2"/>
      <c r="D426" s="2"/>
      <c r="E426" s="2"/>
      <c r="F426" s="2"/>
      <c r="G426" s="2"/>
      <c r="H426" s="2"/>
      <c r="I426" s="2"/>
      <c r="J426" s="2"/>
      <c r="K426" s="2"/>
      <c r="L426" s="2"/>
      <c r="M426" s="2"/>
      <c r="N426" s="2"/>
      <c r="O426" s="2"/>
      <c r="P426" s="2"/>
      <c r="Q426" s="2"/>
      <c r="R426" s="2"/>
      <c r="S426" s="2"/>
      <c r="T426" s="2"/>
      <c r="U426" s="2"/>
      <c r="V426" s="2"/>
      <c r="W426" s="2"/>
      <c r="X426" s="3"/>
      <c r="Y426" s="2"/>
      <c r="Z426" s="2"/>
      <c r="AA426" s="2"/>
      <c r="AB426" s="2"/>
      <c r="AC426" s="2"/>
      <c r="AD426" s="2"/>
      <c r="AE426" s="2"/>
      <c r="AF426" s="2"/>
      <c r="AG426" s="2"/>
      <c r="AH426" s="2"/>
      <c r="AI426" s="2"/>
      <c r="AJ426" s="2"/>
      <c r="AK426" s="2"/>
      <c r="AL426" s="2"/>
    </row>
    <row r="427">
      <c r="A427" s="1"/>
      <c r="B427" s="2"/>
      <c r="C427" s="2"/>
      <c r="D427" s="2"/>
      <c r="E427" s="2"/>
      <c r="F427" s="2"/>
      <c r="G427" s="2"/>
      <c r="H427" s="2"/>
      <c r="I427" s="2"/>
      <c r="J427" s="2"/>
      <c r="K427" s="2"/>
      <c r="L427" s="2"/>
      <c r="M427" s="2"/>
      <c r="N427" s="2"/>
      <c r="O427" s="2"/>
      <c r="P427" s="2"/>
      <c r="Q427" s="2"/>
      <c r="R427" s="2"/>
      <c r="S427" s="2"/>
      <c r="T427" s="2"/>
      <c r="U427" s="2"/>
      <c r="V427" s="2"/>
      <c r="W427" s="2"/>
      <c r="X427" s="3"/>
      <c r="Y427" s="2"/>
      <c r="Z427" s="2"/>
      <c r="AA427" s="2"/>
      <c r="AB427" s="2"/>
      <c r="AC427" s="2"/>
      <c r="AD427" s="2"/>
      <c r="AE427" s="2"/>
      <c r="AF427" s="2"/>
      <c r="AG427" s="2"/>
      <c r="AH427" s="2"/>
      <c r="AI427" s="2"/>
      <c r="AJ427" s="2"/>
      <c r="AK427" s="2"/>
      <c r="AL427" s="2"/>
    </row>
    <row r="428">
      <c r="A428" s="1"/>
      <c r="B428" s="2"/>
      <c r="C428" s="2"/>
      <c r="D428" s="2"/>
      <c r="E428" s="2"/>
      <c r="F428" s="2"/>
      <c r="G428" s="2"/>
      <c r="H428" s="2"/>
      <c r="I428" s="2"/>
      <c r="J428" s="2"/>
      <c r="K428" s="2"/>
      <c r="L428" s="2"/>
      <c r="M428" s="2"/>
      <c r="N428" s="2"/>
      <c r="O428" s="2"/>
      <c r="P428" s="2"/>
      <c r="Q428" s="2"/>
      <c r="R428" s="2"/>
      <c r="S428" s="2"/>
      <c r="T428" s="2"/>
      <c r="U428" s="2"/>
      <c r="V428" s="2"/>
      <c r="W428" s="2"/>
      <c r="X428" s="3"/>
      <c r="Y428" s="2"/>
      <c r="Z428" s="2"/>
      <c r="AA428" s="2"/>
      <c r="AB428" s="2"/>
      <c r="AC428" s="2"/>
      <c r="AD428" s="2"/>
      <c r="AE428" s="2"/>
      <c r="AF428" s="2"/>
      <c r="AG428" s="2"/>
      <c r="AH428" s="2"/>
      <c r="AI428" s="2"/>
      <c r="AJ428" s="2"/>
      <c r="AK428" s="2"/>
      <c r="AL428" s="2"/>
    </row>
    <row r="429">
      <c r="A429" s="1"/>
      <c r="B429" s="2"/>
      <c r="C429" s="2"/>
      <c r="D429" s="2"/>
      <c r="E429" s="2"/>
      <c r="F429" s="2"/>
      <c r="G429" s="2"/>
      <c r="H429" s="2"/>
      <c r="I429" s="2"/>
      <c r="J429" s="2"/>
      <c r="K429" s="2"/>
      <c r="L429" s="2"/>
      <c r="M429" s="2"/>
      <c r="N429" s="2"/>
      <c r="O429" s="2"/>
      <c r="P429" s="2"/>
      <c r="Q429" s="2"/>
      <c r="R429" s="2"/>
      <c r="S429" s="2"/>
      <c r="T429" s="2"/>
      <c r="U429" s="2"/>
      <c r="V429" s="2"/>
      <c r="W429" s="2"/>
      <c r="X429" s="3"/>
      <c r="Y429" s="2"/>
      <c r="Z429" s="2"/>
      <c r="AA429" s="2"/>
      <c r="AB429" s="2"/>
      <c r="AC429" s="2"/>
      <c r="AD429" s="2"/>
      <c r="AE429" s="2"/>
      <c r="AF429" s="2"/>
      <c r="AG429" s="2"/>
      <c r="AH429" s="2"/>
      <c r="AI429" s="2"/>
      <c r="AJ429" s="2"/>
      <c r="AK429" s="2"/>
      <c r="AL429" s="2"/>
    </row>
    <row r="430">
      <c r="A430" s="1"/>
      <c r="B430" s="2"/>
      <c r="C430" s="2"/>
      <c r="D430" s="2"/>
      <c r="E430" s="2"/>
      <c r="F430" s="2"/>
      <c r="G430" s="2"/>
      <c r="H430" s="2"/>
      <c r="I430" s="2"/>
      <c r="J430" s="2"/>
      <c r="K430" s="2"/>
      <c r="L430" s="2"/>
      <c r="M430" s="2"/>
      <c r="N430" s="2"/>
      <c r="O430" s="2"/>
      <c r="P430" s="2"/>
      <c r="Q430" s="2"/>
      <c r="R430" s="2"/>
      <c r="S430" s="2"/>
      <c r="T430" s="2"/>
      <c r="U430" s="2"/>
      <c r="V430" s="2"/>
      <c r="W430" s="2"/>
      <c r="X430" s="3"/>
      <c r="Y430" s="2"/>
      <c r="Z430" s="2"/>
      <c r="AA430" s="2"/>
      <c r="AB430" s="2"/>
      <c r="AC430" s="2"/>
      <c r="AD430" s="2"/>
      <c r="AE430" s="2"/>
      <c r="AF430" s="2"/>
      <c r="AG430" s="2"/>
      <c r="AH430" s="2"/>
      <c r="AI430" s="2"/>
      <c r="AJ430" s="2"/>
      <c r="AK430" s="2"/>
      <c r="AL430" s="2"/>
    </row>
    <row r="431">
      <c r="A431" s="1"/>
      <c r="B431" s="2"/>
      <c r="C431" s="2"/>
      <c r="D431" s="2"/>
      <c r="E431" s="2"/>
      <c r="F431" s="2"/>
      <c r="G431" s="2"/>
      <c r="H431" s="2"/>
      <c r="I431" s="2"/>
      <c r="J431" s="2"/>
      <c r="K431" s="2"/>
      <c r="L431" s="2"/>
      <c r="M431" s="2"/>
      <c r="N431" s="2"/>
      <c r="O431" s="2"/>
      <c r="P431" s="2"/>
      <c r="Q431" s="2"/>
      <c r="R431" s="2"/>
      <c r="S431" s="2"/>
      <c r="T431" s="2"/>
      <c r="U431" s="2"/>
      <c r="V431" s="2"/>
      <c r="W431" s="2"/>
      <c r="X431" s="3"/>
      <c r="Y431" s="2"/>
      <c r="Z431" s="2"/>
      <c r="AA431" s="2"/>
      <c r="AB431" s="2"/>
      <c r="AC431" s="2"/>
      <c r="AD431" s="2"/>
      <c r="AE431" s="2"/>
      <c r="AF431" s="2"/>
      <c r="AG431" s="2"/>
      <c r="AH431" s="2"/>
      <c r="AI431" s="2"/>
      <c r="AJ431" s="2"/>
      <c r="AK431" s="2"/>
      <c r="AL431" s="2"/>
    </row>
    <row r="432">
      <c r="A432" s="1"/>
      <c r="B432" s="2"/>
      <c r="C432" s="2"/>
      <c r="D432" s="2"/>
      <c r="E432" s="2"/>
      <c r="F432" s="2"/>
      <c r="G432" s="2"/>
      <c r="H432" s="2"/>
      <c r="I432" s="2"/>
      <c r="J432" s="2"/>
      <c r="K432" s="2"/>
      <c r="L432" s="2"/>
      <c r="M432" s="2"/>
      <c r="N432" s="2"/>
      <c r="O432" s="2"/>
      <c r="P432" s="2"/>
      <c r="Q432" s="2"/>
      <c r="R432" s="2"/>
      <c r="S432" s="2"/>
      <c r="T432" s="2"/>
      <c r="U432" s="2"/>
      <c r="V432" s="2"/>
      <c r="W432" s="2"/>
      <c r="X432" s="3"/>
      <c r="Y432" s="2"/>
      <c r="Z432" s="2"/>
      <c r="AA432" s="2"/>
      <c r="AB432" s="2"/>
      <c r="AC432" s="2"/>
      <c r="AD432" s="2"/>
      <c r="AE432" s="2"/>
      <c r="AF432" s="2"/>
      <c r="AG432" s="2"/>
      <c r="AH432" s="2"/>
      <c r="AI432" s="2"/>
      <c r="AJ432" s="2"/>
      <c r="AK432" s="2"/>
      <c r="AL432" s="2"/>
    </row>
    <row r="433">
      <c r="A433" s="1"/>
      <c r="B433" s="2"/>
      <c r="C433" s="2"/>
      <c r="D433" s="2"/>
      <c r="E433" s="2"/>
      <c r="F433" s="2"/>
      <c r="G433" s="2"/>
      <c r="H433" s="2"/>
      <c r="I433" s="2"/>
      <c r="J433" s="2"/>
      <c r="K433" s="2"/>
      <c r="L433" s="2"/>
      <c r="M433" s="2"/>
      <c r="N433" s="2"/>
      <c r="O433" s="2"/>
      <c r="P433" s="2"/>
      <c r="Q433" s="2"/>
      <c r="R433" s="2"/>
      <c r="S433" s="2"/>
      <c r="T433" s="2"/>
      <c r="U433" s="2"/>
      <c r="V433" s="2"/>
      <c r="W433" s="2"/>
      <c r="X433" s="3"/>
      <c r="Y433" s="2"/>
      <c r="Z433" s="2"/>
      <c r="AA433" s="2"/>
      <c r="AB433" s="2"/>
      <c r="AC433" s="2"/>
      <c r="AD433" s="2"/>
      <c r="AE433" s="2"/>
      <c r="AF433" s="2"/>
      <c r="AG433" s="2"/>
      <c r="AH433" s="2"/>
      <c r="AI433" s="2"/>
      <c r="AJ433" s="2"/>
      <c r="AK433" s="2"/>
      <c r="AL433" s="2"/>
    </row>
    <row r="434">
      <c r="A434" s="1"/>
      <c r="B434" s="2"/>
      <c r="C434" s="2"/>
      <c r="D434" s="2"/>
      <c r="E434" s="2"/>
      <c r="F434" s="2"/>
      <c r="G434" s="2"/>
      <c r="H434" s="2"/>
      <c r="I434" s="2"/>
      <c r="J434" s="2"/>
      <c r="K434" s="2"/>
      <c r="L434" s="2"/>
      <c r="M434" s="2"/>
      <c r="N434" s="2"/>
      <c r="O434" s="2"/>
      <c r="P434" s="2"/>
      <c r="Q434" s="2"/>
      <c r="R434" s="2"/>
      <c r="S434" s="2"/>
      <c r="T434" s="2"/>
      <c r="U434" s="2"/>
      <c r="V434" s="2"/>
      <c r="W434" s="2"/>
      <c r="X434" s="3"/>
      <c r="Y434" s="2"/>
      <c r="Z434" s="2"/>
      <c r="AA434" s="2"/>
      <c r="AB434" s="2"/>
      <c r="AC434" s="2"/>
      <c r="AD434" s="2"/>
      <c r="AE434" s="2"/>
      <c r="AF434" s="2"/>
      <c r="AG434" s="2"/>
      <c r="AH434" s="2"/>
      <c r="AI434" s="2"/>
      <c r="AJ434" s="2"/>
      <c r="AK434" s="2"/>
      <c r="AL434" s="2"/>
    </row>
    <row r="435">
      <c r="A435" s="1"/>
      <c r="B435" s="2"/>
      <c r="C435" s="2"/>
      <c r="D435" s="2"/>
      <c r="E435" s="2"/>
      <c r="F435" s="2"/>
      <c r="G435" s="2"/>
      <c r="H435" s="2"/>
      <c r="I435" s="2"/>
      <c r="J435" s="2"/>
      <c r="K435" s="2"/>
      <c r="L435" s="2"/>
      <c r="M435" s="2"/>
      <c r="N435" s="2"/>
      <c r="O435" s="2"/>
      <c r="P435" s="2"/>
      <c r="Q435" s="2"/>
      <c r="R435" s="2"/>
      <c r="S435" s="2"/>
      <c r="T435" s="2"/>
      <c r="U435" s="2"/>
      <c r="V435" s="2"/>
      <c r="W435" s="2"/>
      <c r="X435" s="3"/>
      <c r="Y435" s="2"/>
      <c r="Z435" s="2"/>
      <c r="AA435" s="2"/>
      <c r="AB435" s="2"/>
      <c r="AC435" s="2"/>
      <c r="AD435" s="2"/>
      <c r="AE435" s="2"/>
      <c r="AF435" s="2"/>
      <c r="AG435" s="2"/>
      <c r="AH435" s="2"/>
      <c r="AI435" s="2"/>
      <c r="AJ435" s="2"/>
      <c r="AK435" s="2"/>
      <c r="AL435" s="2"/>
    </row>
    <row r="436">
      <c r="A436" s="1"/>
      <c r="B436" s="2"/>
      <c r="C436" s="2"/>
      <c r="D436" s="2"/>
      <c r="E436" s="2"/>
      <c r="F436" s="2"/>
      <c r="G436" s="2"/>
      <c r="H436" s="2"/>
      <c r="I436" s="2"/>
      <c r="J436" s="2"/>
      <c r="K436" s="2"/>
      <c r="L436" s="2"/>
      <c r="M436" s="2"/>
      <c r="N436" s="2"/>
      <c r="O436" s="2"/>
      <c r="P436" s="2"/>
      <c r="Q436" s="2"/>
      <c r="R436" s="2"/>
      <c r="S436" s="2"/>
      <c r="T436" s="2"/>
      <c r="U436" s="2"/>
      <c r="V436" s="2"/>
      <c r="W436" s="2"/>
      <c r="X436" s="3"/>
      <c r="Y436" s="2"/>
      <c r="Z436" s="2"/>
      <c r="AA436" s="2"/>
      <c r="AB436" s="2"/>
      <c r="AC436" s="2"/>
      <c r="AD436" s="2"/>
      <c r="AE436" s="2"/>
      <c r="AF436" s="2"/>
      <c r="AG436" s="2"/>
      <c r="AH436" s="2"/>
      <c r="AI436" s="2"/>
      <c r="AJ436" s="2"/>
      <c r="AK436" s="2"/>
      <c r="AL436" s="2"/>
    </row>
    <row r="437">
      <c r="A437" s="1"/>
      <c r="B437" s="2"/>
      <c r="C437" s="2"/>
      <c r="D437" s="2"/>
      <c r="E437" s="2"/>
      <c r="F437" s="2"/>
      <c r="G437" s="2"/>
      <c r="H437" s="2"/>
      <c r="I437" s="2"/>
      <c r="J437" s="2"/>
      <c r="K437" s="2"/>
      <c r="L437" s="2"/>
      <c r="M437" s="2"/>
      <c r="N437" s="2"/>
      <c r="O437" s="2"/>
      <c r="P437" s="2"/>
      <c r="Q437" s="2"/>
      <c r="R437" s="2"/>
      <c r="S437" s="2"/>
      <c r="T437" s="2"/>
      <c r="U437" s="2"/>
      <c r="V437" s="2"/>
      <c r="W437" s="2"/>
      <c r="X437" s="3"/>
      <c r="Y437" s="2"/>
      <c r="Z437" s="2"/>
      <c r="AA437" s="2"/>
      <c r="AB437" s="2"/>
      <c r="AC437" s="2"/>
      <c r="AD437" s="2"/>
      <c r="AE437" s="2"/>
      <c r="AF437" s="2"/>
      <c r="AG437" s="2"/>
      <c r="AH437" s="2"/>
      <c r="AI437" s="2"/>
      <c r="AJ437" s="2"/>
      <c r="AK437" s="2"/>
      <c r="AL437" s="2"/>
    </row>
    <row r="438">
      <c r="A438" s="1"/>
      <c r="B438" s="2"/>
      <c r="C438" s="2"/>
      <c r="D438" s="2"/>
      <c r="E438" s="2"/>
      <c r="F438" s="2"/>
      <c r="G438" s="2"/>
      <c r="H438" s="2"/>
      <c r="I438" s="2"/>
      <c r="J438" s="2"/>
      <c r="K438" s="2"/>
      <c r="L438" s="2"/>
      <c r="M438" s="2"/>
      <c r="N438" s="2"/>
      <c r="O438" s="2"/>
      <c r="P438" s="2"/>
      <c r="Q438" s="2"/>
      <c r="R438" s="2"/>
      <c r="S438" s="2"/>
      <c r="T438" s="2"/>
      <c r="U438" s="2"/>
      <c r="V438" s="2"/>
      <c r="W438" s="2"/>
      <c r="X438" s="3"/>
      <c r="Y438" s="2"/>
      <c r="Z438" s="2"/>
      <c r="AA438" s="2"/>
      <c r="AB438" s="2"/>
      <c r="AC438" s="2"/>
      <c r="AD438" s="2"/>
      <c r="AE438" s="2"/>
      <c r="AF438" s="2"/>
      <c r="AG438" s="2"/>
      <c r="AH438" s="2"/>
      <c r="AI438" s="2"/>
      <c r="AJ438" s="2"/>
      <c r="AK438" s="2"/>
      <c r="AL438" s="2"/>
    </row>
    <row r="439">
      <c r="A439" s="1"/>
      <c r="B439" s="2"/>
      <c r="C439" s="2"/>
      <c r="D439" s="2"/>
      <c r="E439" s="2"/>
      <c r="F439" s="2"/>
      <c r="G439" s="2"/>
      <c r="H439" s="2"/>
      <c r="I439" s="2"/>
      <c r="J439" s="2"/>
      <c r="K439" s="2"/>
      <c r="L439" s="2"/>
      <c r="M439" s="2"/>
      <c r="N439" s="2"/>
      <c r="O439" s="2"/>
      <c r="P439" s="2"/>
      <c r="Q439" s="2"/>
      <c r="R439" s="2"/>
      <c r="S439" s="2"/>
      <c r="T439" s="2"/>
      <c r="U439" s="2"/>
      <c r="V439" s="2"/>
      <c r="W439" s="2"/>
      <c r="X439" s="3"/>
      <c r="Y439" s="2"/>
      <c r="Z439" s="2"/>
      <c r="AA439" s="2"/>
      <c r="AB439" s="2"/>
      <c r="AC439" s="2"/>
      <c r="AD439" s="2"/>
      <c r="AE439" s="2"/>
      <c r="AF439" s="2"/>
      <c r="AG439" s="2"/>
      <c r="AH439" s="2"/>
      <c r="AI439" s="2"/>
      <c r="AJ439" s="2"/>
      <c r="AK439" s="2"/>
      <c r="AL439" s="2"/>
    </row>
    <row r="440">
      <c r="A440" s="1"/>
      <c r="B440" s="2"/>
      <c r="C440" s="2"/>
      <c r="D440" s="2"/>
      <c r="E440" s="2"/>
      <c r="F440" s="2"/>
      <c r="G440" s="2"/>
      <c r="H440" s="2"/>
      <c r="I440" s="2"/>
      <c r="J440" s="2"/>
      <c r="K440" s="2"/>
      <c r="L440" s="2"/>
      <c r="M440" s="2"/>
      <c r="N440" s="2"/>
      <c r="O440" s="2"/>
      <c r="P440" s="2"/>
      <c r="Q440" s="2"/>
      <c r="R440" s="2"/>
      <c r="S440" s="2"/>
      <c r="T440" s="2"/>
      <c r="U440" s="2"/>
      <c r="V440" s="2"/>
      <c r="W440" s="2"/>
      <c r="X440" s="3"/>
      <c r="Y440" s="2"/>
      <c r="Z440" s="2"/>
      <c r="AA440" s="2"/>
      <c r="AB440" s="2"/>
      <c r="AC440" s="2"/>
      <c r="AD440" s="2"/>
      <c r="AE440" s="2"/>
      <c r="AF440" s="2"/>
      <c r="AG440" s="2"/>
      <c r="AH440" s="2"/>
      <c r="AI440" s="2"/>
      <c r="AJ440" s="2"/>
      <c r="AK440" s="2"/>
      <c r="AL440" s="2"/>
    </row>
    <row r="441">
      <c r="A441" s="1"/>
      <c r="B441" s="2"/>
      <c r="C441" s="2"/>
      <c r="D441" s="2"/>
      <c r="E441" s="2"/>
      <c r="F441" s="2"/>
      <c r="G441" s="2"/>
      <c r="H441" s="2"/>
      <c r="I441" s="2"/>
      <c r="J441" s="2"/>
      <c r="K441" s="2"/>
      <c r="L441" s="2"/>
      <c r="M441" s="2"/>
      <c r="N441" s="2"/>
      <c r="O441" s="2"/>
      <c r="P441" s="2"/>
      <c r="Q441" s="2"/>
      <c r="R441" s="2"/>
      <c r="S441" s="2"/>
      <c r="T441" s="2"/>
      <c r="U441" s="2"/>
      <c r="V441" s="2"/>
      <c r="W441" s="2"/>
      <c r="X441" s="3"/>
      <c r="Y441" s="2"/>
      <c r="Z441" s="2"/>
      <c r="AA441" s="2"/>
      <c r="AB441" s="2"/>
      <c r="AC441" s="2"/>
      <c r="AD441" s="2"/>
      <c r="AE441" s="2"/>
      <c r="AF441" s="2"/>
      <c r="AG441" s="2"/>
      <c r="AH441" s="2"/>
      <c r="AI441" s="2"/>
      <c r="AJ441" s="2"/>
      <c r="AK441" s="2"/>
      <c r="AL441" s="2"/>
    </row>
    <row r="442">
      <c r="A442" s="1"/>
      <c r="B442" s="2"/>
      <c r="C442" s="2"/>
      <c r="D442" s="2"/>
      <c r="E442" s="2"/>
      <c r="F442" s="2"/>
      <c r="G442" s="2"/>
      <c r="H442" s="2"/>
      <c r="I442" s="2"/>
      <c r="J442" s="2"/>
      <c r="K442" s="2"/>
      <c r="L442" s="2"/>
      <c r="M442" s="2"/>
      <c r="N442" s="2"/>
      <c r="O442" s="2"/>
      <c r="P442" s="2"/>
      <c r="Q442" s="2"/>
      <c r="R442" s="2"/>
      <c r="S442" s="2"/>
      <c r="T442" s="2"/>
      <c r="U442" s="2"/>
      <c r="V442" s="2"/>
      <c r="W442" s="2"/>
      <c r="X442" s="3"/>
      <c r="Y442" s="2"/>
      <c r="Z442" s="2"/>
      <c r="AA442" s="2"/>
      <c r="AB442" s="2"/>
      <c r="AC442" s="2"/>
      <c r="AD442" s="2"/>
      <c r="AE442" s="2"/>
      <c r="AF442" s="2"/>
      <c r="AG442" s="2"/>
      <c r="AH442" s="2"/>
      <c r="AI442" s="2"/>
      <c r="AJ442" s="2"/>
      <c r="AK442" s="2"/>
      <c r="AL442" s="2"/>
    </row>
    <row r="443">
      <c r="A443" s="1"/>
      <c r="B443" s="2"/>
      <c r="C443" s="2"/>
      <c r="D443" s="2"/>
      <c r="E443" s="2"/>
      <c r="F443" s="2"/>
      <c r="G443" s="2"/>
      <c r="H443" s="2"/>
      <c r="I443" s="2"/>
      <c r="J443" s="2"/>
      <c r="K443" s="2"/>
      <c r="L443" s="2"/>
      <c r="M443" s="2"/>
      <c r="N443" s="2"/>
      <c r="O443" s="2"/>
      <c r="P443" s="2"/>
      <c r="Q443" s="2"/>
      <c r="R443" s="2"/>
      <c r="S443" s="2"/>
      <c r="T443" s="2"/>
      <c r="U443" s="2"/>
      <c r="V443" s="2"/>
      <c r="W443" s="2"/>
      <c r="X443" s="3"/>
      <c r="Y443" s="2"/>
      <c r="Z443" s="2"/>
      <c r="AA443" s="2"/>
      <c r="AB443" s="2"/>
      <c r="AC443" s="2"/>
      <c r="AD443" s="2"/>
      <c r="AE443" s="2"/>
      <c r="AF443" s="2"/>
      <c r="AG443" s="2"/>
      <c r="AH443" s="2"/>
      <c r="AI443" s="2"/>
      <c r="AJ443" s="2"/>
      <c r="AK443" s="2"/>
      <c r="AL443" s="2"/>
    </row>
    <row r="444">
      <c r="A444" s="1"/>
      <c r="B444" s="2"/>
      <c r="C444" s="2"/>
      <c r="D444" s="2"/>
      <c r="E444" s="2"/>
      <c r="F444" s="2"/>
      <c r="G444" s="2"/>
      <c r="H444" s="2"/>
      <c r="I444" s="2"/>
      <c r="J444" s="2"/>
      <c r="K444" s="2"/>
      <c r="L444" s="2"/>
      <c r="M444" s="2"/>
      <c r="N444" s="2"/>
      <c r="O444" s="2"/>
      <c r="P444" s="2"/>
      <c r="Q444" s="2"/>
      <c r="R444" s="2"/>
      <c r="S444" s="2"/>
      <c r="T444" s="2"/>
      <c r="U444" s="2"/>
      <c r="V444" s="2"/>
      <c r="W444" s="2"/>
      <c r="X444" s="3"/>
      <c r="Y444" s="2"/>
      <c r="Z444" s="2"/>
      <c r="AA444" s="2"/>
      <c r="AB444" s="2"/>
      <c r="AC444" s="2"/>
      <c r="AD444" s="2"/>
      <c r="AE444" s="2"/>
      <c r="AF444" s="2"/>
      <c r="AG444" s="2"/>
      <c r="AH444" s="2"/>
      <c r="AI444" s="2"/>
      <c r="AJ444" s="2"/>
      <c r="AK444" s="2"/>
      <c r="AL444" s="2"/>
    </row>
    <row r="445">
      <c r="A445" s="1"/>
      <c r="B445" s="2"/>
      <c r="C445" s="2"/>
      <c r="D445" s="2"/>
      <c r="E445" s="2"/>
      <c r="F445" s="2"/>
      <c r="G445" s="2"/>
      <c r="H445" s="2"/>
      <c r="I445" s="2"/>
      <c r="J445" s="2"/>
      <c r="K445" s="2"/>
      <c r="L445" s="2"/>
      <c r="M445" s="2"/>
      <c r="N445" s="2"/>
      <c r="O445" s="2"/>
      <c r="P445" s="2"/>
      <c r="Q445" s="2"/>
      <c r="R445" s="2"/>
      <c r="S445" s="2"/>
      <c r="T445" s="2"/>
      <c r="U445" s="2"/>
      <c r="V445" s="2"/>
      <c r="W445" s="2"/>
      <c r="X445" s="3"/>
      <c r="Y445" s="2"/>
      <c r="Z445" s="2"/>
      <c r="AA445" s="2"/>
      <c r="AB445" s="2"/>
      <c r="AC445" s="2"/>
      <c r="AD445" s="2"/>
      <c r="AE445" s="2"/>
      <c r="AF445" s="2"/>
      <c r="AG445" s="2"/>
      <c r="AH445" s="2"/>
      <c r="AI445" s="2"/>
      <c r="AJ445" s="2"/>
      <c r="AK445" s="2"/>
      <c r="AL445" s="2"/>
    </row>
    <row r="446">
      <c r="A446" s="1"/>
      <c r="B446" s="2"/>
      <c r="C446" s="2"/>
      <c r="D446" s="2"/>
      <c r="E446" s="2"/>
      <c r="F446" s="2"/>
      <c r="G446" s="2"/>
      <c r="H446" s="2"/>
      <c r="I446" s="2"/>
      <c r="J446" s="2"/>
      <c r="K446" s="2"/>
      <c r="L446" s="2"/>
      <c r="M446" s="2"/>
      <c r="N446" s="2"/>
      <c r="O446" s="2"/>
      <c r="P446" s="2"/>
      <c r="Q446" s="2"/>
      <c r="R446" s="2"/>
      <c r="S446" s="2"/>
      <c r="T446" s="2"/>
      <c r="U446" s="2"/>
      <c r="V446" s="2"/>
      <c r="W446" s="2"/>
      <c r="X446" s="3"/>
      <c r="Y446" s="2"/>
      <c r="Z446" s="2"/>
      <c r="AA446" s="2"/>
      <c r="AB446" s="2"/>
      <c r="AC446" s="2"/>
      <c r="AD446" s="2"/>
      <c r="AE446" s="2"/>
      <c r="AF446" s="2"/>
      <c r="AG446" s="2"/>
      <c r="AH446" s="2"/>
      <c r="AI446" s="2"/>
      <c r="AJ446" s="2"/>
      <c r="AK446" s="2"/>
      <c r="AL446" s="2"/>
    </row>
    <row r="447">
      <c r="A447" s="1"/>
      <c r="B447" s="2"/>
      <c r="C447" s="2"/>
      <c r="D447" s="2"/>
      <c r="E447" s="2"/>
      <c r="F447" s="2"/>
      <c r="G447" s="2"/>
      <c r="H447" s="2"/>
      <c r="I447" s="2"/>
      <c r="J447" s="2"/>
      <c r="K447" s="2"/>
      <c r="L447" s="2"/>
      <c r="M447" s="2"/>
      <c r="N447" s="2"/>
      <c r="O447" s="2"/>
      <c r="P447" s="2"/>
      <c r="Q447" s="2"/>
      <c r="R447" s="2"/>
      <c r="S447" s="2"/>
      <c r="T447" s="2"/>
      <c r="U447" s="2"/>
      <c r="V447" s="2"/>
      <c r="W447" s="2"/>
      <c r="X447" s="3"/>
      <c r="Y447" s="2"/>
      <c r="Z447" s="2"/>
      <c r="AA447" s="2"/>
      <c r="AB447" s="2"/>
      <c r="AC447" s="2"/>
      <c r="AD447" s="2"/>
      <c r="AE447" s="2"/>
      <c r="AF447" s="2"/>
      <c r="AG447" s="2"/>
      <c r="AH447" s="2"/>
      <c r="AI447" s="2"/>
      <c r="AJ447" s="2"/>
      <c r="AK447" s="2"/>
      <c r="AL447" s="2"/>
    </row>
    <row r="448">
      <c r="A448" s="1"/>
      <c r="B448" s="2"/>
      <c r="C448" s="2"/>
      <c r="D448" s="2"/>
      <c r="E448" s="2"/>
      <c r="F448" s="2"/>
      <c r="G448" s="2"/>
      <c r="H448" s="2"/>
      <c r="I448" s="2"/>
      <c r="J448" s="2"/>
      <c r="K448" s="2"/>
      <c r="L448" s="2"/>
      <c r="M448" s="2"/>
      <c r="N448" s="2"/>
      <c r="O448" s="2"/>
      <c r="P448" s="2"/>
      <c r="Q448" s="2"/>
      <c r="R448" s="2"/>
      <c r="S448" s="2"/>
      <c r="T448" s="2"/>
      <c r="U448" s="2"/>
      <c r="V448" s="2"/>
      <c r="W448" s="2"/>
      <c r="X448" s="3"/>
      <c r="Y448" s="2"/>
      <c r="Z448" s="2"/>
      <c r="AA448" s="2"/>
      <c r="AB448" s="2"/>
      <c r="AC448" s="2"/>
      <c r="AD448" s="2"/>
      <c r="AE448" s="2"/>
      <c r="AF448" s="2"/>
      <c r="AG448" s="2"/>
      <c r="AH448" s="2"/>
      <c r="AI448" s="2"/>
      <c r="AJ448" s="2"/>
      <c r="AK448" s="2"/>
      <c r="AL448" s="2"/>
    </row>
    <row r="449">
      <c r="A449" s="1"/>
      <c r="B449" s="2"/>
      <c r="C449" s="2"/>
      <c r="D449" s="2"/>
      <c r="E449" s="2"/>
      <c r="F449" s="2"/>
      <c r="G449" s="2"/>
      <c r="H449" s="2"/>
      <c r="I449" s="2"/>
      <c r="J449" s="2"/>
      <c r="K449" s="2"/>
      <c r="L449" s="2"/>
      <c r="M449" s="2"/>
      <c r="N449" s="2"/>
      <c r="O449" s="2"/>
      <c r="P449" s="2"/>
      <c r="Q449" s="2"/>
      <c r="R449" s="2"/>
      <c r="S449" s="2"/>
      <c r="T449" s="2"/>
      <c r="U449" s="2"/>
      <c r="V449" s="2"/>
      <c r="W449" s="2"/>
      <c r="X449" s="3"/>
      <c r="Y449" s="2"/>
      <c r="Z449" s="2"/>
      <c r="AA449" s="2"/>
      <c r="AB449" s="2"/>
      <c r="AC449" s="2"/>
      <c r="AD449" s="2"/>
      <c r="AE449" s="2"/>
      <c r="AF449" s="2"/>
      <c r="AG449" s="2"/>
      <c r="AH449" s="2"/>
      <c r="AI449" s="2"/>
      <c r="AJ449" s="2"/>
      <c r="AK449" s="2"/>
      <c r="AL449" s="2"/>
    </row>
    <row r="450">
      <c r="A450" s="1"/>
      <c r="B450" s="2"/>
      <c r="C450" s="2"/>
      <c r="D450" s="2"/>
      <c r="E450" s="2"/>
      <c r="F450" s="2"/>
      <c r="G450" s="2"/>
      <c r="H450" s="2"/>
      <c r="I450" s="2"/>
      <c r="J450" s="2"/>
      <c r="K450" s="2"/>
      <c r="L450" s="2"/>
      <c r="M450" s="2"/>
      <c r="N450" s="2"/>
      <c r="O450" s="2"/>
      <c r="P450" s="2"/>
      <c r="Q450" s="2"/>
      <c r="R450" s="2"/>
      <c r="S450" s="2"/>
      <c r="T450" s="2"/>
      <c r="U450" s="2"/>
      <c r="V450" s="2"/>
      <c r="W450" s="2"/>
      <c r="X450" s="3"/>
      <c r="Y450" s="2"/>
      <c r="Z450" s="2"/>
      <c r="AA450" s="2"/>
      <c r="AB450" s="2"/>
      <c r="AC450" s="2"/>
      <c r="AD450" s="2"/>
      <c r="AE450" s="2"/>
      <c r="AF450" s="2"/>
      <c r="AG450" s="2"/>
      <c r="AH450" s="2"/>
      <c r="AI450" s="2"/>
      <c r="AJ450" s="2"/>
      <c r="AK450" s="2"/>
      <c r="AL450" s="2"/>
    </row>
    <row r="451">
      <c r="A451" s="1"/>
      <c r="B451" s="2"/>
      <c r="C451" s="2"/>
      <c r="D451" s="2"/>
      <c r="E451" s="2"/>
      <c r="F451" s="2"/>
      <c r="G451" s="2"/>
      <c r="H451" s="2"/>
      <c r="I451" s="2"/>
      <c r="J451" s="2"/>
      <c r="K451" s="2"/>
      <c r="L451" s="2"/>
      <c r="M451" s="2"/>
      <c r="N451" s="2"/>
      <c r="O451" s="2"/>
      <c r="P451" s="2"/>
      <c r="Q451" s="2"/>
      <c r="R451" s="2"/>
      <c r="S451" s="2"/>
      <c r="T451" s="2"/>
      <c r="U451" s="2"/>
      <c r="V451" s="2"/>
      <c r="W451" s="2"/>
      <c r="X451" s="3"/>
      <c r="Y451" s="2"/>
      <c r="Z451" s="2"/>
      <c r="AA451" s="2"/>
      <c r="AB451" s="2"/>
      <c r="AC451" s="2"/>
      <c r="AD451" s="2"/>
      <c r="AE451" s="2"/>
      <c r="AF451" s="2"/>
      <c r="AG451" s="2"/>
      <c r="AH451" s="2"/>
      <c r="AI451" s="2"/>
      <c r="AJ451" s="2"/>
      <c r="AK451" s="2"/>
      <c r="AL451" s="2"/>
    </row>
    <row r="452">
      <c r="A452" s="1"/>
      <c r="B452" s="2"/>
      <c r="C452" s="2"/>
      <c r="D452" s="2"/>
      <c r="E452" s="2"/>
      <c r="F452" s="2"/>
      <c r="G452" s="2"/>
      <c r="H452" s="2"/>
      <c r="I452" s="2"/>
      <c r="J452" s="2"/>
      <c r="K452" s="2"/>
      <c r="L452" s="2"/>
      <c r="M452" s="2"/>
      <c r="N452" s="2"/>
      <c r="O452" s="2"/>
      <c r="P452" s="2"/>
      <c r="Q452" s="2"/>
      <c r="R452" s="2"/>
      <c r="S452" s="2"/>
      <c r="T452" s="2"/>
      <c r="U452" s="2"/>
      <c r="V452" s="2"/>
      <c r="W452" s="2"/>
      <c r="X452" s="3"/>
      <c r="Y452" s="2"/>
      <c r="Z452" s="2"/>
      <c r="AA452" s="2"/>
      <c r="AB452" s="2"/>
      <c r="AC452" s="2"/>
      <c r="AD452" s="2"/>
      <c r="AE452" s="2"/>
      <c r="AF452" s="2"/>
      <c r="AG452" s="2"/>
      <c r="AH452" s="2"/>
      <c r="AI452" s="2"/>
      <c r="AJ452" s="2"/>
      <c r="AK452" s="2"/>
      <c r="AL452" s="2"/>
    </row>
    <row r="453">
      <c r="A453" s="1"/>
      <c r="B453" s="2"/>
      <c r="C453" s="2"/>
      <c r="D453" s="2"/>
      <c r="E453" s="2"/>
      <c r="F453" s="2"/>
      <c r="G453" s="2"/>
      <c r="H453" s="2"/>
      <c r="I453" s="2"/>
      <c r="J453" s="2"/>
      <c r="K453" s="2"/>
      <c r="L453" s="2"/>
      <c r="M453" s="2"/>
      <c r="N453" s="2"/>
      <c r="O453" s="2"/>
      <c r="P453" s="2"/>
      <c r="Q453" s="2"/>
      <c r="R453" s="2"/>
      <c r="S453" s="2"/>
      <c r="T453" s="2"/>
      <c r="U453" s="2"/>
      <c r="V453" s="2"/>
      <c r="W453" s="2"/>
      <c r="X453" s="3"/>
      <c r="Y453" s="2"/>
      <c r="Z453" s="2"/>
      <c r="AA453" s="2"/>
      <c r="AB453" s="2"/>
      <c r="AC453" s="2"/>
      <c r="AD453" s="2"/>
      <c r="AE453" s="2"/>
      <c r="AF453" s="2"/>
      <c r="AG453" s="2"/>
      <c r="AH453" s="2"/>
      <c r="AI453" s="2"/>
      <c r="AJ453" s="2"/>
      <c r="AK453" s="2"/>
      <c r="AL453" s="2"/>
    </row>
    <row r="454">
      <c r="A454" s="1"/>
      <c r="B454" s="2"/>
      <c r="C454" s="2"/>
      <c r="D454" s="2"/>
      <c r="E454" s="2"/>
      <c r="F454" s="2"/>
      <c r="G454" s="2"/>
      <c r="H454" s="2"/>
      <c r="I454" s="2"/>
      <c r="J454" s="2"/>
      <c r="K454" s="2"/>
      <c r="L454" s="2"/>
      <c r="M454" s="2"/>
      <c r="N454" s="2"/>
      <c r="O454" s="2"/>
      <c r="P454" s="2"/>
      <c r="Q454" s="2"/>
      <c r="R454" s="2"/>
      <c r="S454" s="2"/>
      <c r="T454" s="2"/>
      <c r="U454" s="2"/>
      <c r="V454" s="2"/>
      <c r="W454" s="2"/>
      <c r="X454" s="3"/>
      <c r="Y454" s="2"/>
      <c r="Z454" s="2"/>
      <c r="AA454" s="2"/>
      <c r="AB454" s="2"/>
      <c r="AC454" s="2"/>
      <c r="AD454" s="2"/>
      <c r="AE454" s="2"/>
      <c r="AF454" s="2"/>
      <c r="AG454" s="2"/>
      <c r="AH454" s="2"/>
      <c r="AI454" s="2"/>
      <c r="AJ454" s="2"/>
      <c r="AK454" s="2"/>
      <c r="AL454" s="2"/>
    </row>
    <row r="455">
      <c r="A455" s="1"/>
      <c r="B455" s="2"/>
      <c r="C455" s="2"/>
      <c r="D455" s="2"/>
      <c r="E455" s="2"/>
      <c r="F455" s="2"/>
      <c r="G455" s="2"/>
      <c r="H455" s="2"/>
      <c r="I455" s="2"/>
      <c r="J455" s="2"/>
      <c r="K455" s="2"/>
      <c r="L455" s="2"/>
      <c r="M455" s="2"/>
      <c r="N455" s="2"/>
      <c r="O455" s="2"/>
      <c r="P455" s="2"/>
      <c r="Q455" s="2"/>
      <c r="R455" s="2"/>
      <c r="S455" s="2"/>
      <c r="T455" s="2"/>
      <c r="U455" s="2"/>
      <c r="V455" s="2"/>
      <c r="W455" s="2"/>
      <c r="X455" s="3"/>
      <c r="Y455" s="2"/>
      <c r="Z455" s="2"/>
      <c r="AA455" s="2"/>
      <c r="AB455" s="2"/>
      <c r="AC455" s="2"/>
      <c r="AD455" s="2"/>
      <c r="AE455" s="2"/>
      <c r="AF455" s="2"/>
      <c r="AG455" s="2"/>
      <c r="AH455" s="2"/>
      <c r="AI455" s="2"/>
      <c r="AJ455" s="2"/>
      <c r="AK455" s="2"/>
      <c r="AL455" s="2"/>
    </row>
    <row r="456">
      <c r="A456" s="1"/>
      <c r="B456" s="2"/>
      <c r="C456" s="2"/>
      <c r="D456" s="2"/>
      <c r="E456" s="2"/>
      <c r="F456" s="2"/>
      <c r="G456" s="2"/>
      <c r="H456" s="2"/>
      <c r="I456" s="2"/>
      <c r="J456" s="2"/>
      <c r="K456" s="2"/>
      <c r="L456" s="2"/>
      <c r="M456" s="2"/>
      <c r="N456" s="2"/>
      <c r="O456" s="2"/>
      <c r="P456" s="2"/>
      <c r="Q456" s="2"/>
      <c r="R456" s="2"/>
      <c r="S456" s="2"/>
      <c r="T456" s="2"/>
      <c r="U456" s="2"/>
      <c r="V456" s="2"/>
      <c r="W456" s="2"/>
      <c r="X456" s="3"/>
      <c r="Y456" s="2"/>
      <c r="Z456" s="2"/>
      <c r="AA456" s="2"/>
      <c r="AB456" s="2"/>
      <c r="AC456" s="2"/>
      <c r="AD456" s="2"/>
      <c r="AE456" s="2"/>
      <c r="AF456" s="2"/>
      <c r="AG456" s="2"/>
      <c r="AH456" s="2"/>
      <c r="AI456" s="2"/>
      <c r="AJ456" s="2"/>
      <c r="AK456" s="2"/>
      <c r="AL456" s="2"/>
    </row>
    <row r="457">
      <c r="A457" s="1"/>
      <c r="B457" s="2"/>
      <c r="C457" s="2"/>
      <c r="D457" s="2"/>
      <c r="E457" s="2"/>
      <c r="F457" s="2"/>
      <c r="G457" s="2"/>
      <c r="H457" s="2"/>
      <c r="I457" s="2"/>
      <c r="J457" s="2"/>
      <c r="K457" s="2"/>
      <c r="L457" s="2"/>
      <c r="M457" s="2"/>
      <c r="N457" s="2"/>
      <c r="O457" s="2"/>
      <c r="P457" s="2"/>
      <c r="Q457" s="2"/>
      <c r="R457" s="2"/>
      <c r="S457" s="2"/>
      <c r="T457" s="2"/>
      <c r="U457" s="2"/>
      <c r="V457" s="2"/>
      <c r="W457" s="2"/>
      <c r="X457" s="3"/>
      <c r="Y457" s="2"/>
      <c r="Z457" s="2"/>
      <c r="AA457" s="2"/>
      <c r="AB457" s="2"/>
      <c r="AC457" s="2"/>
      <c r="AD457" s="2"/>
      <c r="AE457" s="2"/>
      <c r="AF457" s="2"/>
      <c r="AG457" s="2"/>
      <c r="AH457" s="2"/>
      <c r="AI457" s="2"/>
      <c r="AJ457" s="2"/>
      <c r="AK457" s="2"/>
      <c r="AL457" s="2"/>
    </row>
    <row r="458">
      <c r="A458" s="1"/>
      <c r="B458" s="2"/>
      <c r="C458" s="2"/>
      <c r="D458" s="2"/>
      <c r="E458" s="2"/>
      <c r="F458" s="2"/>
      <c r="G458" s="2"/>
      <c r="H458" s="2"/>
      <c r="I458" s="2"/>
      <c r="J458" s="2"/>
      <c r="K458" s="2"/>
      <c r="L458" s="2"/>
      <c r="M458" s="2"/>
      <c r="N458" s="2"/>
      <c r="O458" s="2"/>
      <c r="P458" s="2"/>
      <c r="Q458" s="2"/>
      <c r="R458" s="2"/>
      <c r="S458" s="2"/>
      <c r="T458" s="2"/>
      <c r="U458" s="2"/>
      <c r="V458" s="2"/>
      <c r="W458" s="2"/>
      <c r="X458" s="3"/>
      <c r="Y458" s="2"/>
      <c r="Z458" s="2"/>
      <c r="AA458" s="2"/>
      <c r="AB458" s="2"/>
      <c r="AC458" s="2"/>
      <c r="AD458" s="2"/>
      <c r="AE458" s="2"/>
      <c r="AF458" s="2"/>
      <c r="AG458" s="2"/>
      <c r="AH458" s="2"/>
      <c r="AI458" s="2"/>
      <c r="AJ458" s="2"/>
      <c r="AK458" s="2"/>
      <c r="AL458" s="2"/>
    </row>
    <row r="459">
      <c r="A459" s="1"/>
      <c r="B459" s="2"/>
      <c r="C459" s="2"/>
      <c r="D459" s="2"/>
      <c r="E459" s="2"/>
      <c r="F459" s="2"/>
      <c r="G459" s="2"/>
      <c r="H459" s="2"/>
      <c r="I459" s="2"/>
      <c r="J459" s="2"/>
      <c r="K459" s="2"/>
      <c r="L459" s="2"/>
      <c r="M459" s="2"/>
      <c r="N459" s="2"/>
      <c r="O459" s="2"/>
      <c r="P459" s="2"/>
      <c r="Q459" s="2"/>
      <c r="R459" s="2"/>
      <c r="S459" s="2"/>
      <c r="T459" s="2"/>
      <c r="U459" s="2"/>
      <c r="V459" s="2"/>
      <c r="W459" s="2"/>
      <c r="X459" s="3"/>
      <c r="Y459" s="2"/>
      <c r="Z459" s="2"/>
      <c r="AA459" s="2"/>
      <c r="AB459" s="2"/>
      <c r="AC459" s="2"/>
      <c r="AD459" s="2"/>
      <c r="AE459" s="2"/>
      <c r="AF459" s="2"/>
      <c r="AG459" s="2"/>
      <c r="AH459" s="2"/>
      <c r="AI459" s="2"/>
      <c r="AJ459" s="2"/>
      <c r="AK459" s="2"/>
      <c r="AL459" s="2"/>
    </row>
    <row r="460">
      <c r="A460" s="1"/>
      <c r="B460" s="2"/>
      <c r="C460" s="2"/>
      <c r="D460" s="2"/>
      <c r="E460" s="2"/>
      <c r="F460" s="2"/>
      <c r="G460" s="2"/>
      <c r="H460" s="2"/>
      <c r="I460" s="2"/>
      <c r="J460" s="2"/>
      <c r="K460" s="2"/>
      <c r="L460" s="2"/>
      <c r="M460" s="2"/>
      <c r="N460" s="2"/>
      <c r="O460" s="2"/>
      <c r="P460" s="2"/>
      <c r="Q460" s="2"/>
      <c r="R460" s="2"/>
      <c r="S460" s="2"/>
      <c r="T460" s="2"/>
      <c r="U460" s="2"/>
      <c r="V460" s="2"/>
      <c r="W460" s="2"/>
      <c r="X460" s="3"/>
      <c r="Y460" s="2"/>
      <c r="Z460" s="2"/>
      <c r="AA460" s="2"/>
      <c r="AB460" s="2"/>
      <c r="AC460" s="2"/>
      <c r="AD460" s="2"/>
      <c r="AE460" s="2"/>
      <c r="AF460" s="2"/>
      <c r="AG460" s="2"/>
      <c r="AH460" s="2"/>
      <c r="AI460" s="2"/>
      <c r="AJ460" s="2"/>
      <c r="AK460" s="2"/>
      <c r="AL460" s="2"/>
    </row>
    <row r="461">
      <c r="A461" s="1"/>
      <c r="B461" s="2"/>
      <c r="C461" s="2"/>
      <c r="D461" s="2"/>
      <c r="E461" s="2"/>
      <c r="F461" s="2"/>
      <c r="G461" s="2"/>
      <c r="H461" s="2"/>
      <c r="I461" s="2"/>
      <c r="J461" s="2"/>
      <c r="K461" s="2"/>
      <c r="L461" s="2"/>
      <c r="M461" s="2"/>
      <c r="N461" s="2"/>
      <c r="O461" s="2"/>
      <c r="P461" s="2"/>
      <c r="Q461" s="2"/>
      <c r="R461" s="2"/>
      <c r="S461" s="2"/>
      <c r="T461" s="2"/>
      <c r="U461" s="2"/>
      <c r="V461" s="2"/>
      <c r="W461" s="2"/>
      <c r="X461" s="3"/>
      <c r="Y461" s="2"/>
      <c r="Z461" s="2"/>
      <c r="AA461" s="2"/>
      <c r="AB461" s="2"/>
      <c r="AC461" s="2"/>
      <c r="AD461" s="2"/>
      <c r="AE461" s="2"/>
      <c r="AF461" s="2"/>
      <c r="AG461" s="2"/>
      <c r="AH461" s="2"/>
      <c r="AI461" s="2"/>
      <c r="AJ461" s="2"/>
      <c r="AK461" s="2"/>
      <c r="AL461" s="2"/>
    </row>
    <row r="462">
      <c r="A462" s="1"/>
      <c r="B462" s="2"/>
      <c r="C462" s="2"/>
      <c r="D462" s="2"/>
      <c r="E462" s="2"/>
      <c r="F462" s="2"/>
      <c r="G462" s="2"/>
      <c r="H462" s="2"/>
      <c r="I462" s="2"/>
      <c r="J462" s="2"/>
      <c r="K462" s="2"/>
      <c r="L462" s="2"/>
      <c r="M462" s="2"/>
      <c r="N462" s="2"/>
      <c r="O462" s="2"/>
      <c r="P462" s="2"/>
      <c r="Q462" s="2"/>
      <c r="R462" s="2"/>
      <c r="S462" s="2"/>
      <c r="T462" s="2"/>
      <c r="U462" s="2"/>
      <c r="V462" s="2"/>
      <c r="W462" s="2"/>
      <c r="X462" s="3"/>
      <c r="Y462" s="2"/>
      <c r="Z462" s="2"/>
      <c r="AA462" s="2"/>
      <c r="AB462" s="2"/>
      <c r="AC462" s="2"/>
      <c r="AD462" s="2"/>
      <c r="AE462" s="2"/>
      <c r="AF462" s="2"/>
      <c r="AG462" s="2"/>
      <c r="AH462" s="2"/>
      <c r="AI462" s="2"/>
      <c r="AJ462" s="2"/>
      <c r="AK462" s="2"/>
      <c r="AL462" s="2"/>
    </row>
    <row r="463">
      <c r="A463" s="1"/>
      <c r="B463" s="2"/>
      <c r="C463" s="2"/>
      <c r="D463" s="2"/>
      <c r="E463" s="2"/>
      <c r="F463" s="2"/>
      <c r="G463" s="2"/>
      <c r="H463" s="2"/>
      <c r="I463" s="2"/>
      <c r="J463" s="2"/>
      <c r="K463" s="2"/>
      <c r="L463" s="2"/>
      <c r="M463" s="2"/>
      <c r="N463" s="2"/>
      <c r="O463" s="2"/>
      <c r="P463" s="2"/>
      <c r="Q463" s="2"/>
      <c r="R463" s="2"/>
      <c r="S463" s="2"/>
      <c r="T463" s="2"/>
      <c r="U463" s="2"/>
      <c r="V463" s="2"/>
      <c r="W463" s="2"/>
      <c r="X463" s="3"/>
      <c r="Y463" s="2"/>
      <c r="Z463" s="2"/>
      <c r="AA463" s="2"/>
      <c r="AB463" s="2"/>
      <c r="AC463" s="2"/>
      <c r="AD463" s="2"/>
      <c r="AE463" s="2"/>
      <c r="AF463" s="2"/>
      <c r="AG463" s="2"/>
      <c r="AH463" s="2"/>
      <c r="AI463" s="2"/>
      <c r="AJ463" s="2"/>
      <c r="AK463" s="2"/>
      <c r="AL463" s="2"/>
    </row>
    <row r="464">
      <c r="A464" s="1"/>
      <c r="B464" s="2"/>
      <c r="C464" s="2"/>
      <c r="D464" s="2"/>
      <c r="E464" s="2"/>
      <c r="F464" s="2"/>
      <c r="G464" s="2"/>
      <c r="H464" s="2"/>
      <c r="I464" s="2"/>
      <c r="J464" s="2"/>
      <c r="K464" s="2"/>
      <c r="L464" s="2"/>
      <c r="M464" s="2"/>
      <c r="N464" s="2"/>
      <c r="O464" s="2"/>
      <c r="P464" s="2"/>
      <c r="Q464" s="2"/>
      <c r="R464" s="2"/>
      <c r="S464" s="2"/>
      <c r="T464" s="2"/>
      <c r="U464" s="2"/>
      <c r="V464" s="2"/>
      <c r="W464" s="2"/>
      <c r="X464" s="3"/>
      <c r="Y464" s="2"/>
      <c r="Z464" s="2"/>
      <c r="AA464" s="2"/>
      <c r="AB464" s="2"/>
      <c r="AC464" s="2"/>
      <c r="AD464" s="2"/>
      <c r="AE464" s="2"/>
      <c r="AF464" s="2"/>
      <c r="AG464" s="2"/>
      <c r="AH464" s="2"/>
      <c r="AI464" s="2"/>
      <c r="AJ464" s="2"/>
      <c r="AK464" s="2"/>
      <c r="AL464" s="2"/>
    </row>
    <row r="465">
      <c r="A465" s="1"/>
      <c r="B465" s="2"/>
      <c r="C465" s="2"/>
      <c r="D465" s="2"/>
      <c r="E465" s="2"/>
      <c r="F465" s="2"/>
      <c r="G465" s="2"/>
      <c r="H465" s="2"/>
      <c r="I465" s="2"/>
      <c r="J465" s="2"/>
      <c r="K465" s="2"/>
      <c r="L465" s="2"/>
      <c r="M465" s="2"/>
      <c r="N465" s="2"/>
      <c r="O465" s="2"/>
      <c r="P465" s="2"/>
      <c r="Q465" s="2"/>
      <c r="R465" s="2"/>
      <c r="S465" s="2"/>
      <c r="T465" s="2"/>
      <c r="U465" s="2"/>
      <c r="V465" s="2"/>
      <c r="W465" s="2"/>
      <c r="X465" s="3"/>
      <c r="Y465" s="2"/>
      <c r="Z465" s="2"/>
      <c r="AA465" s="2"/>
      <c r="AB465" s="2"/>
      <c r="AC465" s="2"/>
      <c r="AD465" s="2"/>
      <c r="AE465" s="2"/>
      <c r="AF465" s="2"/>
      <c r="AG465" s="2"/>
      <c r="AH465" s="2"/>
      <c r="AI465" s="2"/>
      <c r="AJ465" s="2"/>
      <c r="AK465" s="2"/>
      <c r="AL465" s="2"/>
    </row>
    <row r="466">
      <c r="A466" s="1"/>
      <c r="B466" s="2"/>
      <c r="C466" s="2"/>
      <c r="D466" s="2"/>
      <c r="E466" s="2"/>
      <c r="F466" s="2"/>
      <c r="G466" s="2"/>
      <c r="H466" s="2"/>
      <c r="I466" s="2"/>
      <c r="J466" s="2"/>
      <c r="K466" s="2"/>
      <c r="L466" s="2"/>
      <c r="M466" s="2"/>
      <c r="N466" s="2"/>
      <c r="O466" s="2"/>
      <c r="P466" s="2"/>
      <c r="Q466" s="2"/>
      <c r="R466" s="2"/>
      <c r="S466" s="2"/>
      <c r="T466" s="2"/>
      <c r="U466" s="2"/>
      <c r="V466" s="2"/>
      <c r="W466" s="2"/>
      <c r="X466" s="3"/>
      <c r="Y466" s="2"/>
      <c r="Z466" s="2"/>
      <c r="AA466" s="2"/>
      <c r="AB466" s="2"/>
      <c r="AC466" s="2"/>
      <c r="AD466" s="2"/>
      <c r="AE466" s="2"/>
      <c r="AF466" s="2"/>
      <c r="AG466" s="2"/>
      <c r="AH466" s="2"/>
      <c r="AI466" s="2"/>
      <c r="AJ466" s="2"/>
      <c r="AK466" s="2"/>
      <c r="AL466" s="2"/>
    </row>
    <row r="467">
      <c r="A467" s="1"/>
      <c r="B467" s="2"/>
      <c r="C467" s="2"/>
      <c r="D467" s="2"/>
      <c r="E467" s="2"/>
      <c r="F467" s="2"/>
      <c r="G467" s="2"/>
      <c r="H467" s="2"/>
      <c r="I467" s="2"/>
      <c r="J467" s="2"/>
      <c r="K467" s="2"/>
      <c r="L467" s="2"/>
      <c r="M467" s="2"/>
      <c r="N467" s="2"/>
      <c r="O467" s="2"/>
      <c r="P467" s="2"/>
      <c r="Q467" s="2"/>
      <c r="R467" s="2"/>
      <c r="S467" s="2"/>
      <c r="T467" s="2"/>
      <c r="U467" s="2"/>
      <c r="V467" s="2"/>
      <c r="W467" s="2"/>
      <c r="X467" s="3"/>
      <c r="Y467" s="2"/>
      <c r="Z467" s="2"/>
      <c r="AA467" s="2"/>
      <c r="AB467" s="2"/>
      <c r="AC467" s="2"/>
      <c r="AD467" s="2"/>
      <c r="AE467" s="2"/>
      <c r="AF467" s="2"/>
      <c r="AG467" s="2"/>
      <c r="AH467" s="2"/>
      <c r="AI467" s="2"/>
      <c r="AJ467" s="2"/>
      <c r="AK467" s="2"/>
      <c r="AL467" s="2"/>
    </row>
    <row r="468">
      <c r="A468" s="1"/>
      <c r="B468" s="2"/>
      <c r="C468" s="2"/>
      <c r="D468" s="2"/>
      <c r="E468" s="2"/>
      <c r="F468" s="2"/>
      <c r="G468" s="2"/>
      <c r="H468" s="2"/>
      <c r="I468" s="2"/>
      <c r="J468" s="2"/>
      <c r="K468" s="2"/>
      <c r="L468" s="2"/>
      <c r="M468" s="2"/>
      <c r="N468" s="2"/>
      <c r="O468" s="2"/>
      <c r="P468" s="2"/>
      <c r="Q468" s="2"/>
      <c r="R468" s="2"/>
      <c r="S468" s="2"/>
      <c r="T468" s="2"/>
      <c r="U468" s="2"/>
      <c r="V468" s="2"/>
      <c r="W468" s="2"/>
      <c r="X468" s="3"/>
      <c r="Y468" s="2"/>
      <c r="Z468" s="2"/>
      <c r="AA468" s="2"/>
      <c r="AB468" s="2"/>
      <c r="AC468" s="2"/>
      <c r="AD468" s="2"/>
      <c r="AE468" s="2"/>
      <c r="AF468" s="2"/>
      <c r="AG468" s="2"/>
      <c r="AH468" s="2"/>
      <c r="AI468" s="2"/>
      <c r="AJ468" s="2"/>
      <c r="AK468" s="2"/>
      <c r="AL468" s="2"/>
    </row>
    <row r="469">
      <c r="A469" s="1"/>
      <c r="B469" s="2"/>
      <c r="C469" s="2"/>
      <c r="D469" s="2"/>
      <c r="E469" s="2"/>
      <c r="F469" s="2"/>
      <c r="G469" s="2"/>
      <c r="H469" s="2"/>
      <c r="I469" s="2"/>
      <c r="J469" s="2"/>
      <c r="K469" s="2"/>
      <c r="L469" s="2"/>
      <c r="M469" s="2"/>
      <c r="N469" s="2"/>
      <c r="O469" s="2"/>
      <c r="P469" s="2"/>
      <c r="Q469" s="2"/>
      <c r="R469" s="2"/>
      <c r="S469" s="2"/>
      <c r="T469" s="2"/>
      <c r="U469" s="2"/>
      <c r="V469" s="2"/>
      <c r="W469" s="2"/>
      <c r="X469" s="3"/>
      <c r="Y469" s="2"/>
      <c r="Z469" s="2"/>
      <c r="AA469" s="2"/>
      <c r="AB469" s="2"/>
      <c r="AC469" s="2"/>
      <c r="AD469" s="2"/>
      <c r="AE469" s="2"/>
      <c r="AF469" s="2"/>
      <c r="AG469" s="2"/>
      <c r="AH469" s="2"/>
      <c r="AI469" s="2"/>
      <c r="AJ469" s="2"/>
      <c r="AK469" s="2"/>
      <c r="AL469" s="2"/>
    </row>
    <row r="470">
      <c r="A470" s="1"/>
      <c r="B470" s="2"/>
      <c r="C470" s="2"/>
      <c r="D470" s="2"/>
      <c r="E470" s="2"/>
      <c r="F470" s="2"/>
      <c r="G470" s="2"/>
      <c r="H470" s="2"/>
      <c r="I470" s="2"/>
      <c r="J470" s="2"/>
      <c r="K470" s="2"/>
      <c r="L470" s="2"/>
      <c r="M470" s="2"/>
      <c r="N470" s="2"/>
      <c r="O470" s="2"/>
      <c r="P470" s="2"/>
      <c r="Q470" s="2"/>
      <c r="R470" s="2"/>
      <c r="S470" s="2"/>
      <c r="T470" s="2"/>
      <c r="U470" s="2"/>
      <c r="V470" s="2"/>
      <c r="W470" s="2"/>
      <c r="X470" s="3"/>
      <c r="Y470" s="2"/>
      <c r="Z470" s="2"/>
      <c r="AA470" s="2"/>
      <c r="AB470" s="2"/>
      <c r="AC470" s="2"/>
      <c r="AD470" s="2"/>
      <c r="AE470" s="2"/>
      <c r="AF470" s="2"/>
      <c r="AG470" s="2"/>
      <c r="AH470" s="2"/>
      <c r="AI470" s="2"/>
      <c r="AJ470" s="2"/>
      <c r="AK470" s="2"/>
      <c r="AL470" s="2"/>
    </row>
    <row r="471">
      <c r="A471" s="1"/>
      <c r="B471" s="2"/>
      <c r="C471" s="2"/>
      <c r="D471" s="2"/>
      <c r="E471" s="2"/>
      <c r="F471" s="2"/>
      <c r="G471" s="2"/>
      <c r="H471" s="2"/>
      <c r="I471" s="2"/>
      <c r="J471" s="2"/>
      <c r="K471" s="2"/>
      <c r="L471" s="2"/>
      <c r="M471" s="2"/>
      <c r="N471" s="2"/>
      <c r="O471" s="2"/>
      <c r="P471" s="2"/>
      <c r="Q471" s="2"/>
      <c r="R471" s="2"/>
      <c r="S471" s="2"/>
      <c r="T471" s="2"/>
      <c r="U471" s="2"/>
      <c r="V471" s="2"/>
      <c r="W471" s="2"/>
      <c r="X471" s="3"/>
      <c r="Y471" s="2"/>
      <c r="Z471" s="2"/>
      <c r="AA471" s="2"/>
      <c r="AB471" s="2"/>
      <c r="AC471" s="2"/>
      <c r="AD471" s="2"/>
      <c r="AE471" s="2"/>
      <c r="AF471" s="2"/>
      <c r="AG471" s="2"/>
      <c r="AH471" s="2"/>
      <c r="AI471" s="2"/>
      <c r="AJ471" s="2"/>
      <c r="AK471" s="2"/>
      <c r="AL471" s="2"/>
    </row>
    <row r="472">
      <c r="A472" s="1"/>
      <c r="B472" s="2"/>
      <c r="C472" s="2"/>
      <c r="D472" s="2"/>
      <c r="E472" s="2"/>
      <c r="F472" s="2"/>
      <c r="G472" s="2"/>
      <c r="H472" s="2"/>
      <c r="I472" s="2"/>
      <c r="J472" s="2"/>
      <c r="K472" s="2"/>
      <c r="L472" s="2"/>
      <c r="M472" s="2"/>
      <c r="N472" s="2"/>
      <c r="O472" s="2"/>
      <c r="P472" s="2"/>
      <c r="Q472" s="2"/>
      <c r="R472" s="2"/>
      <c r="S472" s="2"/>
      <c r="T472" s="2"/>
      <c r="U472" s="2"/>
      <c r="V472" s="2"/>
      <c r="W472" s="2"/>
      <c r="X472" s="3"/>
      <c r="Y472" s="2"/>
      <c r="Z472" s="2"/>
      <c r="AA472" s="2"/>
      <c r="AB472" s="2"/>
      <c r="AC472" s="2"/>
      <c r="AD472" s="2"/>
      <c r="AE472" s="2"/>
      <c r="AF472" s="2"/>
      <c r="AG472" s="2"/>
      <c r="AH472" s="2"/>
      <c r="AI472" s="2"/>
      <c r="AJ472" s="2"/>
      <c r="AK472" s="2"/>
      <c r="AL472" s="2"/>
    </row>
    <row r="473">
      <c r="A473" s="1"/>
      <c r="B473" s="2"/>
      <c r="C473" s="2"/>
      <c r="D473" s="2"/>
      <c r="E473" s="2"/>
      <c r="F473" s="2"/>
      <c r="G473" s="2"/>
      <c r="H473" s="2"/>
      <c r="I473" s="2"/>
      <c r="J473" s="2"/>
      <c r="K473" s="2"/>
      <c r="L473" s="2"/>
      <c r="M473" s="2"/>
      <c r="N473" s="2"/>
      <c r="O473" s="2"/>
      <c r="P473" s="2"/>
      <c r="Q473" s="2"/>
      <c r="R473" s="2"/>
      <c r="S473" s="2"/>
      <c r="T473" s="2"/>
      <c r="U473" s="2"/>
      <c r="V473" s="2"/>
      <c r="W473" s="2"/>
      <c r="X473" s="3"/>
      <c r="Y473" s="2"/>
      <c r="Z473" s="2"/>
      <c r="AA473" s="2"/>
      <c r="AB473" s="2"/>
      <c r="AC473" s="2"/>
      <c r="AD473" s="2"/>
      <c r="AE473" s="2"/>
      <c r="AF473" s="2"/>
      <c r="AG473" s="2"/>
      <c r="AH473" s="2"/>
      <c r="AI473" s="2"/>
      <c r="AJ473" s="2"/>
      <c r="AK473" s="2"/>
      <c r="AL473" s="2"/>
    </row>
    <row r="474">
      <c r="A474" s="1"/>
      <c r="B474" s="2"/>
      <c r="C474" s="2"/>
      <c r="D474" s="2"/>
      <c r="E474" s="2"/>
      <c r="F474" s="2"/>
      <c r="G474" s="2"/>
      <c r="H474" s="2"/>
      <c r="I474" s="2"/>
      <c r="J474" s="2"/>
      <c r="K474" s="2"/>
      <c r="L474" s="2"/>
      <c r="M474" s="2"/>
      <c r="N474" s="2"/>
      <c r="O474" s="2"/>
      <c r="P474" s="2"/>
      <c r="Q474" s="2"/>
      <c r="R474" s="2"/>
      <c r="S474" s="2"/>
      <c r="T474" s="2"/>
      <c r="U474" s="2"/>
      <c r="V474" s="2"/>
      <c r="W474" s="2"/>
      <c r="X474" s="3"/>
      <c r="Y474" s="2"/>
      <c r="Z474" s="2"/>
      <c r="AA474" s="2"/>
      <c r="AB474" s="2"/>
      <c r="AC474" s="2"/>
      <c r="AD474" s="2"/>
      <c r="AE474" s="2"/>
      <c r="AF474" s="2"/>
      <c r="AG474" s="2"/>
      <c r="AH474" s="2"/>
      <c r="AI474" s="2"/>
      <c r="AJ474" s="2"/>
      <c r="AK474" s="2"/>
      <c r="AL474" s="2"/>
    </row>
    <row r="475">
      <c r="A475" s="1"/>
      <c r="B475" s="2"/>
      <c r="C475" s="2"/>
      <c r="D475" s="2"/>
      <c r="E475" s="2"/>
      <c r="F475" s="2"/>
      <c r="G475" s="2"/>
      <c r="H475" s="2"/>
      <c r="I475" s="2"/>
      <c r="J475" s="2"/>
      <c r="K475" s="2"/>
      <c r="L475" s="2"/>
      <c r="M475" s="2"/>
      <c r="N475" s="2"/>
      <c r="O475" s="2"/>
      <c r="P475" s="2"/>
      <c r="Q475" s="2"/>
      <c r="R475" s="2"/>
      <c r="S475" s="2"/>
      <c r="T475" s="2"/>
      <c r="U475" s="2"/>
      <c r="V475" s="2"/>
      <c r="W475" s="2"/>
      <c r="X475" s="3"/>
      <c r="Y475" s="2"/>
      <c r="Z475" s="2"/>
      <c r="AA475" s="2"/>
      <c r="AB475" s="2"/>
      <c r="AC475" s="2"/>
      <c r="AD475" s="2"/>
      <c r="AE475" s="2"/>
      <c r="AF475" s="2"/>
      <c r="AG475" s="2"/>
      <c r="AH475" s="2"/>
      <c r="AI475" s="2"/>
      <c r="AJ475" s="2"/>
      <c r="AK475" s="2"/>
      <c r="AL475" s="2"/>
    </row>
    <row r="476">
      <c r="A476" s="1"/>
      <c r="B476" s="2"/>
      <c r="C476" s="2"/>
      <c r="D476" s="2"/>
      <c r="E476" s="2"/>
      <c r="F476" s="2"/>
      <c r="G476" s="2"/>
      <c r="H476" s="2"/>
      <c r="I476" s="2"/>
      <c r="J476" s="2"/>
      <c r="K476" s="2"/>
      <c r="L476" s="2"/>
      <c r="M476" s="2"/>
      <c r="N476" s="2"/>
      <c r="O476" s="2"/>
      <c r="P476" s="2"/>
      <c r="Q476" s="2"/>
      <c r="R476" s="2"/>
      <c r="S476" s="2"/>
      <c r="T476" s="2"/>
      <c r="U476" s="2"/>
      <c r="V476" s="2"/>
      <c r="W476" s="2"/>
      <c r="X476" s="3"/>
      <c r="Y476" s="2"/>
      <c r="Z476" s="2"/>
      <c r="AA476" s="2"/>
      <c r="AB476" s="2"/>
      <c r="AC476" s="2"/>
      <c r="AD476" s="2"/>
      <c r="AE476" s="2"/>
      <c r="AF476" s="2"/>
      <c r="AG476" s="2"/>
      <c r="AH476" s="2"/>
      <c r="AI476" s="2"/>
      <c r="AJ476" s="2"/>
      <c r="AK476" s="2"/>
      <c r="AL476" s="2"/>
    </row>
    <row r="477">
      <c r="A477" s="1"/>
      <c r="B477" s="2"/>
      <c r="C477" s="2"/>
      <c r="D477" s="2"/>
      <c r="E477" s="2"/>
      <c r="F477" s="2"/>
      <c r="G477" s="2"/>
      <c r="H477" s="2"/>
      <c r="I477" s="2"/>
      <c r="J477" s="2"/>
      <c r="K477" s="2"/>
      <c r="L477" s="2"/>
      <c r="M477" s="2"/>
      <c r="N477" s="2"/>
      <c r="O477" s="2"/>
      <c r="P477" s="2"/>
      <c r="Q477" s="2"/>
      <c r="R477" s="2"/>
      <c r="S477" s="2"/>
      <c r="T477" s="2"/>
      <c r="U477" s="2"/>
      <c r="V477" s="2"/>
      <c r="W477" s="2"/>
      <c r="X477" s="3"/>
      <c r="Y477" s="2"/>
      <c r="Z477" s="2"/>
      <c r="AA477" s="2"/>
      <c r="AB477" s="2"/>
      <c r="AC477" s="2"/>
      <c r="AD477" s="2"/>
      <c r="AE477" s="2"/>
      <c r="AF477" s="2"/>
      <c r="AG477" s="2"/>
      <c r="AH477" s="2"/>
      <c r="AI477" s="2"/>
      <c r="AJ477" s="2"/>
      <c r="AK477" s="2"/>
      <c r="AL477" s="2"/>
    </row>
    <row r="478">
      <c r="A478" s="1"/>
      <c r="B478" s="2"/>
      <c r="C478" s="2"/>
      <c r="D478" s="2"/>
      <c r="E478" s="2"/>
      <c r="F478" s="2"/>
      <c r="G478" s="2"/>
      <c r="H478" s="2"/>
      <c r="I478" s="2"/>
      <c r="J478" s="2"/>
      <c r="K478" s="2"/>
      <c r="L478" s="2"/>
      <c r="M478" s="2"/>
      <c r="N478" s="2"/>
      <c r="O478" s="2"/>
      <c r="P478" s="2"/>
      <c r="Q478" s="2"/>
      <c r="R478" s="2"/>
      <c r="S478" s="2"/>
      <c r="T478" s="2"/>
      <c r="U478" s="2"/>
      <c r="V478" s="2"/>
      <c r="W478" s="2"/>
      <c r="X478" s="3"/>
      <c r="Y478" s="2"/>
      <c r="Z478" s="2"/>
      <c r="AA478" s="2"/>
      <c r="AB478" s="2"/>
      <c r="AC478" s="2"/>
      <c r="AD478" s="2"/>
      <c r="AE478" s="2"/>
      <c r="AF478" s="2"/>
      <c r="AG478" s="2"/>
      <c r="AH478" s="2"/>
      <c r="AI478" s="2"/>
      <c r="AJ478" s="2"/>
      <c r="AK478" s="2"/>
      <c r="AL478" s="2"/>
    </row>
    <row r="479">
      <c r="A479" s="1"/>
      <c r="B479" s="2"/>
      <c r="C479" s="2"/>
      <c r="D479" s="2"/>
      <c r="E479" s="2"/>
      <c r="F479" s="2"/>
      <c r="G479" s="2"/>
      <c r="H479" s="2"/>
      <c r="I479" s="2"/>
      <c r="J479" s="2"/>
      <c r="K479" s="2"/>
      <c r="L479" s="2"/>
      <c r="M479" s="2"/>
      <c r="N479" s="2"/>
      <c r="O479" s="2"/>
      <c r="P479" s="2"/>
      <c r="Q479" s="2"/>
      <c r="R479" s="2"/>
      <c r="S479" s="2"/>
      <c r="T479" s="2"/>
      <c r="U479" s="2"/>
      <c r="V479" s="2"/>
      <c r="W479" s="2"/>
      <c r="X479" s="3"/>
      <c r="Y479" s="2"/>
      <c r="Z479" s="2"/>
      <c r="AA479" s="2"/>
      <c r="AB479" s="2"/>
      <c r="AC479" s="2"/>
      <c r="AD479" s="2"/>
      <c r="AE479" s="2"/>
      <c r="AF479" s="2"/>
      <c r="AG479" s="2"/>
      <c r="AH479" s="2"/>
      <c r="AI479" s="2"/>
      <c r="AJ479" s="2"/>
      <c r="AK479" s="2"/>
      <c r="AL479" s="2"/>
    </row>
    <row r="480">
      <c r="A480" s="1"/>
      <c r="B480" s="2"/>
      <c r="C480" s="2"/>
      <c r="D480" s="2"/>
      <c r="E480" s="2"/>
      <c r="F480" s="2"/>
      <c r="G480" s="2"/>
      <c r="H480" s="2"/>
      <c r="I480" s="2"/>
      <c r="J480" s="2"/>
      <c r="K480" s="2"/>
      <c r="L480" s="2"/>
      <c r="M480" s="2"/>
      <c r="N480" s="2"/>
      <c r="O480" s="2"/>
      <c r="P480" s="2"/>
      <c r="Q480" s="2"/>
      <c r="R480" s="2"/>
      <c r="S480" s="2"/>
      <c r="T480" s="2"/>
      <c r="U480" s="2"/>
      <c r="V480" s="2"/>
      <c r="W480" s="2"/>
      <c r="X480" s="3"/>
      <c r="Y480" s="2"/>
      <c r="Z480" s="2"/>
      <c r="AA480" s="2"/>
      <c r="AB480" s="2"/>
      <c r="AC480" s="2"/>
      <c r="AD480" s="2"/>
      <c r="AE480" s="2"/>
      <c r="AF480" s="2"/>
      <c r="AG480" s="2"/>
      <c r="AH480" s="2"/>
      <c r="AI480" s="2"/>
      <c r="AJ480" s="2"/>
      <c r="AK480" s="2"/>
      <c r="AL480" s="2"/>
    </row>
    <row r="481">
      <c r="A481" s="1"/>
      <c r="B481" s="2"/>
      <c r="C481" s="2"/>
      <c r="D481" s="2"/>
      <c r="E481" s="2"/>
      <c r="F481" s="2"/>
      <c r="G481" s="2"/>
      <c r="H481" s="2"/>
      <c r="I481" s="2"/>
      <c r="J481" s="2"/>
      <c r="K481" s="2"/>
      <c r="L481" s="2"/>
      <c r="M481" s="2"/>
      <c r="N481" s="2"/>
      <c r="O481" s="2"/>
      <c r="P481" s="2"/>
      <c r="Q481" s="2"/>
      <c r="R481" s="2"/>
      <c r="S481" s="2"/>
      <c r="T481" s="2"/>
      <c r="U481" s="2"/>
      <c r="V481" s="2"/>
      <c r="W481" s="2"/>
      <c r="X481" s="3"/>
      <c r="Y481" s="2"/>
      <c r="Z481" s="2"/>
      <c r="AA481" s="2"/>
      <c r="AB481" s="2"/>
      <c r="AC481" s="2"/>
      <c r="AD481" s="2"/>
      <c r="AE481" s="2"/>
      <c r="AF481" s="2"/>
      <c r="AG481" s="2"/>
      <c r="AH481" s="2"/>
      <c r="AI481" s="2"/>
      <c r="AJ481" s="2"/>
      <c r="AK481" s="2"/>
      <c r="AL481" s="2"/>
    </row>
    <row r="482">
      <c r="A482" s="1"/>
      <c r="B482" s="2"/>
      <c r="C482" s="2"/>
      <c r="D482" s="2"/>
      <c r="E482" s="2"/>
      <c r="F482" s="2"/>
      <c r="G482" s="2"/>
      <c r="H482" s="2"/>
      <c r="I482" s="2"/>
      <c r="J482" s="2"/>
      <c r="K482" s="2"/>
      <c r="L482" s="2"/>
      <c r="M482" s="2"/>
      <c r="N482" s="2"/>
      <c r="O482" s="2"/>
      <c r="P482" s="2"/>
      <c r="Q482" s="2"/>
      <c r="R482" s="2"/>
      <c r="S482" s="2"/>
      <c r="T482" s="2"/>
      <c r="U482" s="2"/>
      <c r="V482" s="2"/>
      <c r="W482" s="2"/>
      <c r="X482" s="3"/>
      <c r="Y482" s="2"/>
      <c r="Z482" s="2"/>
      <c r="AA482" s="2"/>
      <c r="AB482" s="2"/>
      <c r="AC482" s="2"/>
      <c r="AD482" s="2"/>
      <c r="AE482" s="2"/>
      <c r="AF482" s="2"/>
      <c r="AG482" s="2"/>
      <c r="AH482" s="2"/>
      <c r="AI482" s="2"/>
      <c r="AJ482" s="2"/>
      <c r="AK482" s="2"/>
      <c r="AL482" s="2"/>
    </row>
    <row r="483">
      <c r="A483" s="1"/>
      <c r="B483" s="2"/>
      <c r="C483" s="2"/>
      <c r="D483" s="2"/>
      <c r="E483" s="2"/>
      <c r="F483" s="2"/>
      <c r="G483" s="2"/>
      <c r="H483" s="2"/>
      <c r="I483" s="2"/>
      <c r="J483" s="2"/>
      <c r="K483" s="2"/>
      <c r="L483" s="2"/>
      <c r="M483" s="2"/>
      <c r="N483" s="2"/>
      <c r="O483" s="2"/>
      <c r="P483" s="2"/>
      <c r="Q483" s="2"/>
      <c r="R483" s="2"/>
      <c r="S483" s="2"/>
      <c r="T483" s="2"/>
      <c r="U483" s="2"/>
      <c r="V483" s="2"/>
      <c r="W483" s="2"/>
      <c r="X483" s="3"/>
      <c r="Y483" s="2"/>
      <c r="Z483" s="2"/>
      <c r="AA483" s="2"/>
      <c r="AB483" s="2"/>
      <c r="AC483" s="2"/>
      <c r="AD483" s="2"/>
      <c r="AE483" s="2"/>
      <c r="AF483" s="2"/>
      <c r="AG483" s="2"/>
      <c r="AH483" s="2"/>
      <c r="AI483" s="2"/>
      <c r="AJ483" s="2"/>
      <c r="AK483" s="2"/>
      <c r="AL483" s="2"/>
    </row>
    <row r="484">
      <c r="A484" s="1"/>
      <c r="B484" s="2"/>
      <c r="C484" s="2"/>
      <c r="D484" s="2"/>
      <c r="E484" s="2"/>
      <c r="F484" s="2"/>
      <c r="G484" s="2"/>
      <c r="H484" s="2"/>
      <c r="I484" s="2"/>
      <c r="J484" s="2"/>
      <c r="K484" s="2"/>
      <c r="L484" s="2"/>
      <c r="M484" s="2"/>
      <c r="N484" s="2"/>
      <c r="O484" s="2"/>
      <c r="P484" s="2"/>
      <c r="Q484" s="2"/>
      <c r="R484" s="2"/>
      <c r="S484" s="2"/>
      <c r="T484" s="2"/>
      <c r="U484" s="2"/>
      <c r="V484" s="2"/>
      <c r="W484" s="2"/>
      <c r="X484" s="3"/>
      <c r="Y484" s="2"/>
      <c r="Z484" s="2"/>
      <c r="AA484" s="2"/>
      <c r="AB484" s="2"/>
      <c r="AC484" s="2"/>
      <c r="AD484" s="2"/>
      <c r="AE484" s="2"/>
      <c r="AF484" s="2"/>
      <c r="AG484" s="2"/>
      <c r="AH484" s="2"/>
      <c r="AI484" s="2"/>
      <c r="AJ484" s="2"/>
      <c r="AK484" s="2"/>
      <c r="AL484" s="2"/>
    </row>
    <row r="485">
      <c r="A485" s="1"/>
      <c r="B485" s="2"/>
      <c r="C485" s="2"/>
      <c r="D485" s="2"/>
      <c r="E485" s="2"/>
      <c r="F485" s="2"/>
      <c r="G485" s="2"/>
      <c r="H485" s="2"/>
      <c r="I485" s="2"/>
      <c r="J485" s="2"/>
      <c r="K485" s="2"/>
      <c r="L485" s="2"/>
      <c r="M485" s="2"/>
      <c r="N485" s="2"/>
      <c r="O485" s="2"/>
      <c r="P485" s="2"/>
      <c r="Q485" s="2"/>
      <c r="R485" s="2"/>
      <c r="S485" s="2"/>
      <c r="T485" s="2"/>
      <c r="U485" s="2"/>
      <c r="V485" s="2"/>
      <c r="W485" s="2"/>
      <c r="X485" s="3"/>
      <c r="Y485" s="2"/>
      <c r="Z485" s="2"/>
      <c r="AA485" s="2"/>
      <c r="AB485" s="2"/>
      <c r="AC485" s="2"/>
      <c r="AD485" s="2"/>
      <c r="AE485" s="2"/>
      <c r="AF485" s="2"/>
      <c r="AG485" s="2"/>
      <c r="AH485" s="2"/>
      <c r="AI485" s="2"/>
      <c r="AJ485" s="2"/>
      <c r="AK485" s="2"/>
      <c r="AL485" s="2"/>
    </row>
    <row r="486">
      <c r="A486" s="1"/>
      <c r="B486" s="2"/>
      <c r="C486" s="2"/>
      <c r="D486" s="2"/>
      <c r="E486" s="2"/>
      <c r="F486" s="2"/>
      <c r="G486" s="2"/>
      <c r="H486" s="2"/>
      <c r="I486" s="2"/>
      <c r="J486" s="2"/>
      <c r="K486" s="2"/>
      <c r="L486" s="2"/>
      <c r="M486" s="2"/>
      <c r="N486" s="2"/>
      <c r="O486" s="2"/>
      <c r="P486" s="2"/>
      <c r="Q486" s="2"/>
      <c r="R486" s="2"/>
      <c r="S486" s="2"/>
      <c r="T486" s="2"/>
      <c r="U486" s="2"/>
      <c r="V486" s="2"/>
      <c r="W486" s="2"/>
      <c r="X486" s="3"/>
      <c r="Y486" s="2"/>
      <c r="Z486" s="2"/>
      <c r="AA486" s="2"/>
      <c r="AB486" s="2"/>
      <c r="AC486" s="2"/>
      <c r="AD486" s="2"/>
      <c r="AE486" s="2"/>
      <c r="AF486" s="2"/>
      <c r="AG486" s="2"/>
      <c r="AH486" s="2"/>
      <c r="AI486" s="2"/>
      <c r="AJ486" s="2"/>
      <c r="AK486" s="2"/>
      <c r="AL486" s="2"/>
    </row>
    <row r="487">
      <c r="A487" s="1"/>
      <c r="B487" s="2"/>
      <c r="C487" s="2"/>
      <c r="D487" s="2"/>
      <c r="E487" s="2"/>
      <c r="F487" s="2"/>
      <c r="G487" s="2"/>
      <c r="H487" s="2"/>
      <c r="I487" s="2"/>
      <c r="J487" s="2"/>
      <c r="K487" s="2"/>
      <c r="L487" s="2"/>
      <c r="M487" s="2"/>
      <c r="N487" s="2"/>
      <c r="O487" s="2"/>
      <c r="P487" s="2"/>
      <c r="Q487" s="2"/>
      <c r="R487" s="2"/>
      <c r="S487" s="2"/>
      <c r="T487" s="2"/>
      <c r="U487" s="2"/>
      <c r="V487" s="2"/>
      <c r="W487" s="2"/>
      <c r="X487" s="3"/>
      <c r="Y487" s="2"/>
      <c r="Z487" s="2"/>
      <c r="AA487" s="2"/>
      <c r="AB487" s="2"/>
      <c r="AC487" s="2"/>
      <c r="AD487" s="2"/>
      <c r="AE487" s="2"/>
      <c r="AF487" s="2"/>
      <c r="AG487" s="2"/>
      <c r="AH487" s="2"/>
      <c r="AI487" s="2"/>
      <c r="AJ487" s="2"/>
      <c r="AK487" s="2"/>
      <c r="AL487" s="2"/>
    </row>
    <row r="488">
      <c r="A488" s="1"/>
      <c r="B488" s="2"/>
      <c r="C488" s="2"/>
      <c r="D488" s="2"/>
      <c r="E488" s="2"/>
      <c r="F488" s="2"/>
      <c r="G488" s="2"/>
      <c r="H488" s="2"/>
      <c r="I488" s="2"/>
      <c r="J488" s="2"/>
      <c r="K488" s="2"/>
      <c r="L488" s="2"/>
      <c r="M488" s="2"/>
      <c r="N488" s="2"/>
      <c r="O488" s="2"/>
      <c r="P488" s="2"/>
      <c r="Q488" s="2"/>
      <c r="R488" s="2"/>
      <c r="S488" s="2"/>
      <c r="T488" s="2"/>
      <c r="U488" s="2"/>
      <c r="V488" s="2"/>
      <c r="W488" s="2"/>
      <c r="X488" s="3"/>
      <c r="Y488" s="2"/>
      <c r="Z488" s="2"/>
      <c r="AA488" s="2"/>
      <c r="AB488" s="2"/>
      <c r="AC488" s="2"/>
      <c r="AD488" s="2"/>
      <c r="AE488" s="2"/>
      <c r="AF488" s="2"/>
      <c r="AG488" s="2"/>
      <c r="AH488" s="2"/>
      <c r="AI488" s="2"/>
      <c r="AJ488" s="2"/>
      <c r="AK488" s="2"/>
      <c r="AL488" s="2"/>
    </row>
    <row r="489">
      <c r="A489" s="1"/>
      <c r="B489" s="2"/>
      <c r="C489" s="2"/>
      <c r="D489" s="2"/>
      <c r="E489" s="2"/>
      <c r="F489" s="2"/>
      <c r="G489" s="2"/>
      <c r="H489" s="2"/>
      <c r="I489" s="2"/>
      <c r="J489" s="2"/>
      <c r="K489" s="2"/>
      <c r="L489" s="2"/>
      <c r="M489" s="2"/>
      <c r="N489" s="2"/>
      <c r="O489" s="2"/>
      <c r="P489" s="2"/>
      <c r="Q489" s="2"/>
      <c r="R489" s="2"/>
      <c r="S489" s="2"/>
      <c r="T489" s="2"/>
      <c r="U489" s="2"/>
      <c r="V489" s="2"/>
      <c r="W489" s="2"/>
      <c r="X489" s="3"/>
      <c r="Y489" s="2"/>
      <c r="Z489" s="2"/>
      <c r="AA489" s="2"/>
      <c r="AB489" s="2"/>
      <c r="AC489" s="2"/>
      <c r="AD489" s="2"/>
      <c r="AE489" s="2"/>
      <c r="AF489" s="2"/>
      <c r="AG489" s="2"/>
      <c r="AH489" s="2"/>
      <c r="AI489" s="2"/>
      <c r="AJ489" s="2"/>
      <c r="AK489" s="2"/>
      <c r="AL489" s="2"/>
    </row>
    <row r="490">
      <c r="A490" s="1"/>
      <c r="B490" s="2"/>
      <c r="C490" s="2"/>
      <c r="D490" s="2"/>
      <c r="E490" s="2"/>
      <c r="F490" s="2"/>
      <c r="G490" s="2"/>
      <c r="H490" s="2"/>
      <c r="I490" s="2"/>
      <c r="J490" s="2"/>
      <c r="K490" s="2"/>
      <c r="L490" s="2"/>
      <c r="M490" s="2"/>
      <c r="N490" s="2"/>
      <c r="O490" s="2"/>
      <c r="P490" s="2"/>
      <c r="Q490" s="2"/>
      <c r="R490" s="2"/>
      <c r="S490" s="2"/>
      <c r="T490" s="2"/>
      <c r="U490" s="2"/>
      <c r="V490" s="2"/>
      <c r="W490" s="2"/>
      <c r="X490" s="3"/>
      <c r="Y490" s="2"/>
      <c r="Z490" s="2"/>
      <c r="AA490" s="2"/>
      <c r="AB490" s="2"/>
      <c r="AC490" s="2"/>
      <c r="AD490" s="2"/>
      <c r="AE490" s="2"/>
      <c r="AF490" s="2"/>
      <c r="AG490" s="2"/>
      <c r="AH490" s="2"/>
      <c r="AI490" s="2"/>
      <c r="AJ490" s="2"/>
      <c r="AK490" s="2"/>
      <c r="AL490" s="2"/>
    </row>
    <row r="491">
      <c r="A491" s="1"/>
      <c r="B491" s="2"/>
      <c r="C491" s="2"/>
      <c r="D491" s="2"/>
      <c r="E491" s="2"/>
      <c r="F491" s="2"/>
      <c r="G491" s="2"/>
      <c r="H491" s="2"/>
      <c r="I491" s="2"/>
      <c r="J491" s="2"/>
      <c r="K491" s="2"/>
      <c r="L491" s="2"/>
      <c r="M491" s="2"/>
      <c r="N491" s="2"/>
      <c r="O491" s="2"/>
      <c r="P491" s="2"/>
      <c r="Q491" s="2"/>
      <c r="R491" s="2"/>
      <c r="S491" s="2"/>
      <c r="T491" s="2"/>
      <c r="U491" s="2"/>
      <c r="V491" s="2"/>
      <c r="W491" s="2"/>
      <c r="X491" s="3"/>
      <c r="Y491" s="2"/>
      <c r="Z491" s="2"/>
      <c r="AA491" s="2"/>
      <c r="AB491" s="2"/>
      <c r="AC491" s="2"/>
      <c r="AD491" s="2"/>
      <c r="AE491" s="2"/>
      <c r="AF491" s="2"/>
      <c r="AG491" s="2"/>
      <c r="AH491" s="2"/>
      <c r="AI491" s="2"/>
      <c r="AJ491" s="2"/>
      <c r="AK491" s="2"/>
      <c r="AL491" s="2"/>
    </row>
    <row r="492">
      <c r="A492" s="1"/>
      <c r="B492" s="2"/>
      <c r="C492" s="2"/>
      <c r="D492" s="2"/>
      <c r="E492" s="2"/>
      <c r="F492" s="2"/>
      <c r="G492" s="2"/>
      <c r="H492" s="2"/>
      <c r="I492" s="2"/>
      <c r="J492" s="2"/>
      <c r="K492" s="2"/>
      <c r="L492" s="2"/>
      <c r="M492" s="2"/>
      <c r="N492" s="2"/>
      <c r="O492" s="2"/>
      <c r="P492" s="2"/>
      <c r="Q492" s="2"/>
      <c r="R492" s="2"/>
      <c r="S492" s="2"/>
      <c r="T492" s="2"/>
      <c r="U492" s="2"/>
      <c r="V492" s="2"/>
      <c r="W492" s="2"/>
      <c r="X492" s="3"/>
      <c r="Y492" s="2"/>
      <c r="Z492" s="2"/>
      <c r="AA492" s="2"/>
      <c r="AB492" s="2"/>
      <c r="AC492" s="2"/>
      <c r="AD492" s="2"/>
      <c r="AE492" s="2"/>
      <c r="AF492" s="2"/>
      <c r="AG492" s="2"/>
      <c r="AH492" s="2"/>
      <c r="AI492" s="2"/>
      <c r="AJ492" s="2"/>
      <c r="AK492" s="2"/>
      <c r="AL492" s="2"/>
    </row>
    <row r="493">
      <c r="A493" s="1"/>
      <c r="B493" s="2"/>
      <c r="C493" s="2"/>
      <c r="D493" s="2"/>
      <c r="E493" s="2"/>
      <c r="F493" s="2"/>
      <c r="G493" s="2"/>
      <c r="H493" s="2"/>
      <c r="I493" s="2"/>
      <c r="J493" s="2"/>
      <c r="K493" s="2"/>
      <c r="L493" s="2"/>
      <c r="M493" s="2"/>
      <c r="N493" s="2"/>
      <c r="O493" s="2"/>
      <c r="P493" s="2"/>
      <c r="Q493" s="2"/>
      <c r="R493" s="2"/>
      <c r="S493" s="2"/>
      <c r="T493" s="2"/>
      <c r="U493" s="2"/>
      <c r="V493" s="2"/>
      <c r="W493" s="2"/>
      <c r="X493" s="3"/>
      <c r="Y493" s="2"/>
      <c r="Z493" s="2"/>
      <c r="AA493" s="2"/>
      <c r="AB493" s="2"/>
      <c r="AC493" s="2"/>
      <c r="AD493" s="2"/>
      <c r="AE493" s="2"/>
      <c r="AF493" s="2"/>
      <c r="AG493" s="2"/>
      <c r="AH493" s="2"/>
      <c r="AI493" s="2"/>
      <c r="AJ493" s="2"/>
      <c r="AK493" s="2"/>
      <c r="AL493" s="2"/>
    </row>
    <row r="494">
      <c r="A494" s="1"/>
      <c r="B494" s="2"/>
      <c r="C494" s="2"/>
      <c r="D494" s="2"/>
      <c r="E494" s="2"/>
      <c r="F494" s="2"/>
      <c r="G494" s="2"/>
      <c r="H494" s="2"/>
      <c r="I494" s="2"/>
      <c r="J494" s="2"/>
      <c r="K494" s="2"/>
      <c r="L494" s="2"/>
      <c r="M494" s="2"/>
      <c r="N494" s="2"/>
      <c r="O494" s="2"/>
      <c r="P494" s="2"/>
      <c r="Q494" s="2"/>
      <c r="R494" s="2"/>
      <c r="S494" s="2"/>
      <c r="T494" s="2"/>
      <c r="U494" s="2"/>
      <c r="V494" s="2"/>
      <c r="W494" s="2"/>
      <c r="X494" s="3"/>
      <c r="Y494" s="2"/>
      <c r="Z494" s="2"/>
      <c r="AA494" s="2"/>
      <c r="AB494" s="2"/>
      <c r="AC494" s="2"/>
      <c r="AD494" s="2"/>
      <c r="AE494" s="2"/>
      <c r="AF494" s="2"/>
      <c r="AG494" s="2"/>
      <c r="AH494" s="2"/>
      <c r="AI494" s="2"/>
      <c r="AJ494" s="2"/>
      <c r="AK494" s="2"/>
      <c r="AL494" s="2"/>
    </row>
    <row r="495">
      <c r="A495" s="1"/>
      <c r="B495" s="2"/>
      <c r="C495" s="2"/>
      <c r="D495" s="2"/>
      <c r="E495" s="2"/>
      <c r="F495" s="2"/>
      <c r="G495" s="2"/>
      <c r="H495" s="2"/>
      <c r="I495" s="2"/>
      <c r="J495" s="2"/>
      <c r="K495" s="2"/>
      <c r="L495" s="2"/>
      <c r="M495" s="2"/>
      <c r="N495" s="2"/>
      <c r="O495" s="2"/>
      <c r="P495" s="2"/>
      <c r="Q495" s="2"/>
      <c r="R495" s="2"/>
      <c r="S495" s="2"/>
      <c r="T495" s="2"/>
      <c r="U495" s="2"/>
      <c r="V495" s="2"/>
      <c r="W495" s="2"/>
      <c r="X495" s="3"/>
      <c r="Y495" s="2"/>
      <c r="Z495" s="2"/>
      <c r="AA495" s="2"/>
      <c r="AB495" s="2"/>
      <c r="AC495" s="2"/>
      <c r="AD495" s="2"/>
      <c r="AE495" s="2"/>
      <c r="AF495" s="2"/>
      <c r="AG495" s="2"/>
      <c r="AH495" s="2"/>
      <c r="AI495" s="2"/>
      <c r="AJ495" s="2"/>
      <c r="AK495" s="2"/>
      <c r="AL495" s="2"/>
    </row>
    <row r="496">
      <c r="A496" s="1"/>
      <c r="B496" s="2"/>
      <c r="C496" s="2"/>
      <c r="D496" s="2"/>
      <c r="E496" s="2"/>
      <c r="F496" s="2"/>
      <c r="G496" s="2"/>
      <c r="H496" s="2"/>
      <c r="I496" s="2"/>
      <c r="J496" s="2"/>
      <c r="K496" s="2"/>
      <c r="L496" s="2"/>
      <c r="M496" s="2"/>
      <c r="N496" s="2"/>
      <c r="O496" s="2"/>
      <c r="P496" s="2"/>
      <c r="Q496" s="2"/>
      <c r="R496" s="2"/>
      <c r="S496" s="2"/>
      <c r="T496" s="2"/>
      <c r="U496" s="2"/>
      <c r="V496" s="2"/>
      <c r="W496" s="2"/>
      <c r="X496" s="3"/>
      <c r="Y496" s="2"/>
      <c r="Z496" s="2"/>
      <c r="AA496" s="2"/>
      <c r="AB496" s="2"/>
      <c r="AC496" s="2"/>
      <c r="AD496" s="2"/>
      <c r="AE496" s="2"/>
      <c r="AF496" s="2"/>
      <c r="AG496" s="2"/>
      <c r="AH496" s="2"/>
      <c r="AI496" s="2"/>
      <c r="AJ496" s="2"/>
      <c r="AK496" s="2"/>
      <c r="AL496" s="2"/>
    </row>
    <row r="497">
      <c r="A497" s="1"/>
      <c r="B497" s="2"/>
      <c r="C497" s="2"/>
      <c r="D497" s="2"/>
      <c r="E497" s="2"/>
      <c r="F497" s="2"/>
      <c r="G497" s="2"/>
      <c r="H497" s="2"/>
      <c r="I497" s="2"/>
      <c r="J497" s="2"/>
      <c r="K497" s="2"/>
      <c r="L497" s="2"/>
      <c r="M497" s="2"/>
      <c r="N497" s="2"/>
      <c r="O497" s="2"/>
      <c r="P497" s="2"/>
      <c r="Q497" s="2"/>
      <c r="R497" s="2"/>
      <c r="S497" s="2"/>
      <c r="T497" s="2"/>
      <c r="U497" s="2"/>
      <c r="V497" s="2"/>
      <c r="W497" s="2"/>
      <c r="X497" s="3"/>
      <c r="Y497" s="2"/>
      <c r="Z497" s="2"/>
      <c r="AA497" s="2"/>
      <c r="AB497" s="2"/>
      <c r="AC497" s="2"/>
      <c r="AD497" s="2"/>
      <c r="AE497" s="2"/>
      <c r="AF497" s="2"/>
      <c r="AG497" s="2"/>
      <c r="AH497" s="2"/>
      <c r="AI497" s="2"/>
      <c r="AJ497" s="2"/>
      <c r="AK497" s="2"/>
      <c r="AL497" s="2"/>
    </row>
    <row r="498">
      <c r="A498" s="1"/>
      <c r="B498" s="2"/>
      <c r="C498" s="2"/>
      <c r="D498" s="2"/>
      <c r="E498" s="2"/>
      <c r="F498" s="2"/>
      <c r="G498" s="2"/>
      <c r="H498" s="2"/>
      <c r="I498" s="2"/>
      <c r="J498" s="2"/>
      <c r="K498" s="2"/>
      <c r="L498" s="2"/>
      <c r="M498" s="2"/>
      <c r="N498" s="2"/>
      <c r="O498" s="2"/>
      <c r="P498" s="2"/>
      <c r="Q498" s="2"/>
      <c r="R498" s="2"/>
      <c r="S498" s="2"/>
      <c r="T498" s="2"/>
      <c r="U498" s="2"/>
      <c r="V498" s="2"/>
      <c r="W498" s="2"/>
      <c r="X498" s="3"/>
      <c r="Y498" s="2"/>
      <c r="Z498" s="2"/>
      <c r="AA498" s="2"/>
      <c r="AB498" s="2"/>
      <c r="AC498" s="2"/>
      <c r="AD498" s="2"/>
      <c r="AE498" s="2"/>
      <c r="AF498" s="2"/>
      <c r="AG498" s="2"/>
      <c r="AH498" s="2"/>
      <c r="AI498" s="2"/>
      <c r="AJ498" s="2"/>
      <c r="AK498" s="2"/>
      <c r="AL498" s="2"/>
    </row>
    <row r="499">
      <c r="A499" s="1"/>
      <c r="B499" s="2"/>
      <c r="C499" s="2"/>
      <c r="D499" s="2"/>
      <c r="E499" s="2"/>
      <c r="F499" s="2"/>
      <c r="G499" s="2"/>
      <c r="H499" s="2"/>
      <c r="I499" s="2"/>
      <c r="J499" s="2"/>
      <c r="K499" s="2"/>
      <c r="L499" s="2"/>
      <c r="M499" s="2"/>
      <c r="N499" s="2"/>
      <c r="O499" s="2"/>
      <c r="P499" s="2"/>
      <c r="Q499" s="2"/>
      <c r="R499" s="2"/>
      <c r="S499" s="2"/>
      <c r="T499" s="2"/>
      <c r="U499" s="2"/>
      <c r="V499" s="2"/>
      <c r="W499" s="2"/>
      <c r="X499" s="3"/>
      <c r="Y499" s="2"/>
      <c r="Z499" s="2"/>
      <c r="AA499" s="2"/>
      <c r="AB499" s="2"/>
      <c r="AC499" s="2"/>
      <c r="AD499" s="2"/>
      <c r="AE499" s="2"/>
      <c r="AF499" s="2"/>
      <c r="AG499" s="2"/>
      <c r="AH499" s="2"/>
      <c r="AI499" s="2"/>
      <c r="AJ499" s="2"/>
      <c r="AK499" s="2"/>
      <c r="AL499" s="2"/>
    </row>
    <row r="500">
      <c r="A500" s="1"/>
      <c r="B500" s="2"/>
      <c r="C500" s="2"/>
      <c r="D500" s="2"/>
      <c r="E500" s="2"/>
      <c r="F500" s="2"/>
      <c r="G500" s="2"/>
      <c r="H500" s="2"/>
      <c r="I500" s="2"/>
      <c r="J500" s="2"/>
      <c r="K500" s="2"/>
      <c r="L500" s="2"/>
      <c r="M500" s="2"/>
      <c r="N500" s="2"/>
      <c r="O500" s="2"/>
      <c r="P500" s="2"/>
      <c r="Q500" s="2"/>
      <c r="R500" s="2"/>
      <c r="S500" s="2"/>
      <c r="T500" s="2"/>
      <c r="U500" s="2"/>
      <c r="V500" s="2"/>
      <c r="W500" s="2"/>
      <c r="X500" s="3"/>
      <c r="Y500" s="2"/>
      <c r="Z500" s="2"/>
      <c r="AA500" s="2"/>
      <c r="AB500" s="2"/>
      <c r="AC500" s="2"/>
      <c r="AD500" s="2"/>
      <c r="AE500" s="2"/>
      <c r="AF500" s="2"/>
      <c r="AG500" s="2"/>
      <c r="AH500" s="2"/>
      <c r="AI500" s="2"/>
      <c r="AJ500" s="2"/>
      <c r="AK500" s="2"/>
      <c r="AL500" s="2"/>
    </row>
    <row r="501">
      <c r="A501" s="1"/>
      <c r="B501" s="2"/>
      <c r="C501" s="2"/>
      <c r="D501" s="2"/>
      <c r="E501" s="2"/>
      <c r="F501" s="2"/>
      <c r="G501" s="2"/>
      <c r="H501" s="2"/>
      <c r="I501" s="2"/>
      <c r="J501" s="2"/>
      <c r="K501" s="2"/>
      <c r="L501" s="2"/>
      <c r="M501" s="2"/>
      <c r="N501" s="2"/>
      <c r="O501" s="2"/>
      <c r="P501" s="2"/>
      <c r="Q501" s="2"/>
      <c r="R501" s="2"/>
      <c r="S501" s="2"/>
      <c r="T501" s="2"/>
      <c r="U501" s="2"/>
      <c r="V501" s="2"/>
      <c r="W501" s="2"/>
      <c r="X501" s="3"/>
      <c r="Y501" s="2"/>
      <c r="Z501" s="2"/>
      <c r="AA501" s="2"/>
      <c r="AB501" s="2"/>
      <c r="AC501" s="2"/>
      <c r="AD501" s="2"/>
      <c r="AE501" s="2"/>
      <c r="AF501" s="2"/>
      <c r="AG501" s="2"/>
      <c r="AH501" s="2"/>
      <c r="AI501" s="2"/>
      <c r="AJ501" s="2"/>
      <c r="AK501" s="2"/>
      <c r="AL501" s="2"/>
    </row>
    <row r="502">
      <c r="A502" s="1"/>
      <c r="B502" s="2"/>
      <c r="C502" s="2"/>
      <c r="D502" s="2"/>
      <c r="E502" s="2"/>
      <c r="F502" s="2"/>
      <c r="G502" s="2"/>
      <c r="H502" s="2"/>
      <c r="I502" s="2"/>
      <c r="J502" s="2"/>
      <c r="K502" s="2"/>
      <c r="L502" s="2"/>
      <c r="M502" s="2"/>
      <c r="N502" s="2"/>
      <c r="O502" s="2"/>
      <c r="P502" s="2"/>
      <c r="Q502" s="2"/>
      <c r="R502" s="2"/>
      <c r="S502" s="2"/>
      <c r="T502" s="2"/>
      <c r="U502" s="2"/>
      <c r="V502" s="2"/>
      <c r="W502" s="2"/>
      <c r="X502" s="3"/>
      <c r="Y502" s="2"/>
      <c r="Z502" s="2"/>
      <c r="AA502" s="2"/>
      <c r="AB502" s="2"/>
      <c r="AC502" s="2"/>
      <c r="AD502" s="2"/>
      <c r="AE502" s="2"/>
      <c r="AF502" s="2"/>
      <c r="AG502" s="2"/>
      <c r="AH502" s="2"/>
      <c r="AI502" s="2"/>
      <c r="AJ502" s="2"/>
      <c r="AK502" s="2"/>
      <c r="AL502" s="2"/>
    </row>
    <row r="503">
      <c r="A503" s="1"/>
      <c r="B503" s="2"/>
      <c r="C503" s="2"/>
      <c r="D503" s="2"/>
      <c r="E503" s="2"/>
      <c r="F503" s="2"/>
      <c r="G503" s="2"/>
      <c r="H503" s="2"/>
      <c r="I503" s="2"/>
      <c r="J503" s="2"/>
      <c r="K503" s="2"/>
      <c r="L503" s="2"/>
      <c r="M503" s="2"/>
      <c r="N503" s="2"/>
      <c r="O503" s="2"/>
      <c r="P503" s="2"/>
      <c r="Q503" s="2"/>
      <c r="R503" s="2"/>
      <c r="S503" s="2"/>
      <c r="T503" s="2"/>
      <c r="U503" s="2"/>
      <c r="V503" s="2"/>
      <c r="W503" s="2"/>
      <c r="X503" s="3"/>
      <c r="Y503" s="2"/>
      <c r="Z503" s="2"/>
      <c r="AA503" s="2"/>
      <c r="AB503" s="2"/>
      <c r="AC503" s="2"/>
      <c r="AD503" s="2"/>
      <c r="AE503" s="2"/>
      <c r="AF503" s="2"/>
      <c r="AG503" s="2"/>
      <c r="AH503" s="2"/>
      <c r="AI503" s="2"/>
      <c r="AJ503" s="2"/>
      <c r="AK503" s="2"/>
      <c r="AL503" s="2"/>
    </row>
    <row r="504">
      <c r="A504" s="1"/>
      <c r="B504" s="2"/>
      <c r="C504" s="2"/>
      <c r="D504" s="2"/>
      <c r="E504" s="2"/>
      <c r="F504" s="2"/>
      <c r="G504" s="2"/>
      <c r="H504" s="2"/>
      <c r="I504" s="2"/>
      <c r="J504" s="2"/>
      <c r="K504" s="2"/>
      <c r="L504" s="2"/>
      <c r="M504" s="2"/>
      <c r="N504" s="2"/>
      <c r="O504" s="2"/>
      <c r="P504" s="2"/>
      <c r="Q504" s="2"/>
      <c r="R504" s="2"/>
      <c r="S504" s="2"/>
      <c r="T504" s="2"/>
      <c r="U504" s="2"/>
      <c r="V504" s="2"/>
      <c r="W504" s="2"/>
      <c r="X504" s="3"/>
      <c r="Y504" s="2"/>
      <c r="Z504" s="2"/>
      <c r="AA504" s="2"/>
      <c r="AB504" s="2"/>
      <c r="AC504" s="2"/>
      <c r="AD504" s="2"/>
      <c r="AE504" s="2"/>
      <c r="AF504" s="2"/>
      <c r="AG504" s="2"/>
      <c r="AH504" s="2"/>
      <c r="AI504" s="2"/>
      <c r="AJ504" s="2"/>
      <c r="AK504" s="2"/>
      <c r="AL504" s="2"/>
    </row>
    <row r="505">
      <c r="A505" s="1"/>
      <c r="B505" s="2"/>
      <c r="C505" s="2"/>
      <c r="D505" s="2"/>
      <c r="E505" s="2"/>
      <c r="F505" s="2"/>
      <c r="G505" s="2"/>
      <c r="H505" s="2"/>
      <c r="I505" s="2"/>
      <c r="J505" s="2"/>
      <c r="K505" s="2"/>
      <c r="L505" s="2"/>
      <c r="M505" s="2"/>
      <c r="N505" s="2"/>
      <c r="O505" s="2"/>
      <c r="P505" s="2"/>
      <c r="Q505" s="2"/>
      <c r="R505" s="2"/>
      <c r="S505" s="2"/>
      <c r="T505" s="2"/>
      <c r="U505" s="2"/>
      <c r="V505" s="2"/>
      <c r="W505" s="2"/>
      <c r="X505" s="3"/>
      <c r="Y505" s="2"/>
      <c r="Z505" s="2"/>
      <c r="AA505" s="2"/>
      <c r="AB505" s="2"/>
      <c r="AC505" s="2"/>
      <c r="AD505" s="2"/>
      <c r="AE505" s="2"/>
      <c r="AF505" s="2"/>
      <c r="AG505" s="2"/>
      <c r="AH505" s="2"/>
      <c r="AI505" s="2"/>
      <c r="AJ505" s="2"/>
      <c r="AK505" s="2"/>
      <c r="AL505" s="2"/>
    </row>
    <row r="506">
      <c r="A506" s="1"/>
      <c r="B506" s="2"/>
      <c r="C506" s="2"/>
      <c r="D506" s="2"/>
      <c r="E506" s="2"/>
      <c r="F506" s="2"/>
      <c r="G506" s="2"/>
      <c r="H506" s="2"/>
      <c r="I506" s="2"/>
      <c r="J506" s="2"/>
      <c r="K506" s="2"/>
      <c r="L506" s="2"/>
      <c r="M506" s="2"/>
      <c r="N506" s="2"/>
      <c r="O506" s="2"/>
      <c r="P506" s="2"/>
      <c r="Q506" s="2"/>
      <c r="R506" s="2"/>
      <c r="S506" s="2"/>
      <c r="T506" s="2"/>
      <c r="U506" s="2"/>
      <c r="V506" s="2"/>
      <c r="W506" s="2"/>
      <c r="X506" s="3"/>
      <c r="Y506" s="2"/>
      <c r="Z506" s="2"/>
      <c r="AA506" s="2"/>
      <c r="AB506" s="2"/>
      <c r="AC506" s="2"/>
      <c r="AD506" s="2"/>
      <c r="AE506" s="2"/>
      <c r="AF506" s="2"/>
      <c r="AG506" s="2"/>
      <c r="AH506" s="2"/>
      <c r="AI506" s="2"/>
      <c r="AJ506" s="2"/>
      <c r="AK506" s="2"/>
      <c r="AL506" s="2"/>
    </row>
    <row r="507">
      <c r="A507" s="1"/>
      <c r="B507" s="2"/>
      <c r="C507" s="2"/>
      <c r="D507" s="2"/>
      <c r="E507" s="2"/>
      <c r="F507" s="2"/>
      <c r="G507" s="2"/>
      <c r="H507" s="2"/>
      <c r="I507" s="2"/>
      <c r="J507" s="2"/>
      <c r="K507" s="2"/>
      <c r="L507" s="2"/>
      <c r="M507" s="2"/>
      <c r="N507" s="2"/>
      <c r="O507" s="2"/>
      <c r="P507" s="2"/>
      <c r="Q507" s="2"/>
      <c r="R507" s="2"/>
      <c r="S507" s="2"/>
      <c r="T507" s="2"/>
      <c r="U507" s="2"/>
      <c r="V507" s="2"/>
      <c r="W507" s="2"/>
      <c r="X507" s="3"/>
      <c r="Y507" s="2"/>
      <c r="Z507" s="2"/>
      <c r="AA507" s="2"/>
      <c r="AB507" s="2"/>
      <c r="AC507" s="2"/>
      <c r="AD507" s="2"/>
      <c r="AE507" s="2"/>
      <c r="AF507" s="2"/>
      <c r="AG507" s="2"/>
      <c r="AH507" s="2"/>
      <c r="AI507" s="2"/>
      <c r="AJ507" s="2"/>
      <c r="AK507" s="2"/>
      <c r="AL507" s="2"/>
    </row>
    <row r="508">
      <c r="A508" s="1"/>
      <c r="B508" s="2"/>
      <c r="C508" s="2"/>
      <c r="D508" s="2"/>
      <c r="E508" s="2"/>
      <c r="F508" s="2"/>
      <c r="G508" s="2"/>
      <c r="H508" s="2"/>
      <c r="I508" s="2"/>
      <c r="J508" s="2"/>
      <c r="K508" s="2"/>
      <c r="L508" s="2"/>
      <c r="M508" s="2"/>
      <c r="N508" s="2"/>
      <c r="O508" s="2"/>
      <c r="P508" s="2"/>
      <c r="Q508" s="2"/>
      <c r="R508" s="2"/>
      <c r="S508" s="2"/>
      <c r="T508" s="2"/>
      <c r="U508" s="2"/>
      <c r="V508" s="2"/>
      <c r="W508" s="2"/>
      <c r="X508" s="3"/>
      <c r="Y508" s="2"/>
      <c r="Z508" s="2"/>
      <c r="AA508" s="2"/>
      <c r="AB508" s="2"/>
      <c r="AC508" s="2"/>
      <c r="AD508" s="2"/>
      <c r="AE508" s="2"/>
      <c r="AF508" s="2"/>
      <c r="AG508" s="2"/>
      <c r="AH508" s="2"/>
      <c r="AI508" s="2"/>
      <c r="AJ508" s="2"/>
      <c r="AK508" s="2"/>
      <c r="AL508" s="2"/>
    </row>
    <row r="509">
      <c r="A509" s="1"/>
      <c r="B509" s="2"/>
      <c r="C509" s="2"/>
      <c r="D509" s="2"/>
      <c r="E509" s="2"/>
      <c r="F509" s="2"/>
      <c r="G509" s="2"/>
      <c r="H509" s="2"/>
      <c r="I509" s="2"/>
      <c r="J509" s="2"/>
      <c r="K509" s="2"/>
      <c r="L509" s="2"/>
      <c r="M509" s="2"/>
      <c r="N509" s="2"/>
      <c r="O509" s="2"/>
      <c r="P509" s="2"/>
      <c r="Q509" s="2"/>
      <c r="R509" s="2"/>
      <c r="S509" s="2"/>
      <c r="T509" s="2"/>
      <c r="U509" s="2"/>
      <c r="V509" s="2"/>
      <c r="W509" s="2"/>
      <c r="X509" s="3"/>
      <c r="Y509" s="2"/>
      <c r="Z509" s="2"/>
      <c r="AA509" s="2"/>
      <c r="AB509" s="2"/>
      <c r="AC509" s="2"/>
      <c r="AD509" s="2"/>
      <c r="AE509" s="2"/>
      <c r="AF509" s="2"/>
      <c r="AG509" s="2"/>
      <c r="AH509" s="2"/>
      <c r="AI509" s="2"/>
      <c r="AJ509" s="2"/>
      <c r="AK509" s="2"/>
      <c r="AL509" s="2"/>
    </row>
    <row r="510">
      <c r="A510" s="1"/>
      <c r="B510" s="2"/>
      <c r="C510" s="2"/>
      <c r="D510" s="2"/>
      <c r="E510" s="2"/>
      <c r="F510" s="2"/>
      <c r="G510" s="2"/>
      <c r="H510" s="2"/>
      <c r="I510" s="2"/>
      <c r="J510" s="2"/>
      <c r="K510" s="2"/>
      <c r="L510" s="2"/>
      <c r="M510" s="2"/>
      <c r="N510" s="2"/>
      <c r="O510" s="2"/>
      <c r="P510" s="2"/>
      <c r="Q510" s="2"/>
      <c r="R510" s="2"/>
      <c r="S510" s="2"/>
      <c r="T510" s="2"/>
      <c r="U510" s="2"/>
      <c r="V510" s="2"/>
      <c r="W510" s="2"/>
      <c r="X510" s="3"/>
      <c r="Y510" s="2"/>
      <c r="Z510" s="2"/>
      <c r="AA510" s="2"/>
      <c r="AB510" s="2"/>
      <c r="AC510" s="2"/>
      <c r="AD510" s="2"/>
      <c r="AE510" s="2"/>
      <c r="AF510" s="2"/>
      <c r="AG510" s="2"/>
      <c r="AH510" s="2"/>
      <c r="AI510" s="2"/>
      <c r="AJ510" s="2"/>
      <c r="AK510" s="2"/>
      <c r="AL510" s="2"/>
    </row>
    <row r="511">
      <c r="A511" s="1"/>
      <c r="B511" s="2"/>
      <c r="C511" s="2"/>
      <c r="D511" s="2"/>
      <c r="E511" s="2"/>
      <c r="F511" s="2"/>
      <c r="G511" s="2"/>
      <c r="H511" s="2"/>
      <c r="I511" s="2"/>
      <c r="J511" s="2"/>
      <c r="K511" s="2"/>
      <c r="L511" s="2"/>
      <c r="M511" s="2"/>
      <c r="N511" s="2"/>
      <c r="O511" s="2"/>
      <c r="P511" s="2"/>
      <c r="Q511" s="2"/>
      <c r="R511" s="2"/>
      <c r="S511" s="2"/>
      <c r="T511" s="2"/>
      <c r="U511" s="2"/>
      <c r="V511" s="2"/>
      <c r="W511" s="2"/>
      <c r="X511" s="3"/>
      <c r="Y511" s="2"/>
      <c r="Z511" s="2"/>
      <c r="AA511" s="2"/>
      <c r="AB511" s="2"/>
      <c r="AC511" s="2"/>
      <c r="AD511" s="2"/>
      <c r="AE511" s="2"/>
      <c r="AF511" s="2"/>
      <c r="AG511" s="2"/>
      <c r="AH511" s="2"/>
      <c r="AI511" s="2"/>
      <c r="AJ511" s="2"/>
      <c r="AK511" s="2"/>
      <c r="AL511" s="2"/>
    </row>
    <row r="512">
      <c r="A512" s="1"/>
      <c r="B512" s="2"/>
      <c r="C512" s="2"/>
      <c r="D512" s="2"/>
      <c r="E512" s="2"/>
      <c r="F512" s="2"/>
      <c r="G512" s="2"/>
      <c r="H512" s="2"/>
      <c r="I512" s="2"/>
      <c r="J512" s="2"/>
      <c r="K512" s="2"/>
      <c r="L512" s="2"/>
      <c r="M512" s="2"/>
      <c r="N512" s="2"/>
      <c r="O512" s="2"/>
      <c r="P512" s="2"/>
      <c r="Q512" s="2"/>
      <c r="R512" s="2"/>
      <c r="S512" s="2"/>
      <c r="T512" s="2"/>
      <c r="U512" s="2"/>
      <c r="V512" s="2"/>
      <c r="W512" s="2"/>
      <c r="X512" s="3"/>
      <c r="Y512" s="2"/>
      <c r="Z512" s="2"/>
      <c r="AA512" s="2"/>
      <c r="AB512" s="2"/>
      <c r="AC512" s="2"/>
      <c r="AD512" s="2"/>
      <c r="AE512" s="2"/>
      <c r="AF512" s="2"/>
      <c r="AG512" s="2"/>
      <c r="AH512" s="2"/>
      <c r="AI512" s="2"/>
      <c r="AJ512" s="2"/>
      <c r="AK512" s="2"/>
      <c r="AL512" s="2"/>
    </row>
    <row r="513">
      <c r="A513" s="1"/>
      <c r="B513" s="2"/>
      <c r="C513" s="2"/>
      <c r="D513" s="2"/>
      <c r="E513" s="2"/>
      <c r="F513" s="2"/>
      <c r="G513" s="2"/>
      <c r="H513" s="2"/>
      <c r="I513" s="2"/>
      <c r="J513" s="2"/>
      <c r="K513" s="2"/>
      <c r="L513" s="2"/>
      <c r="M513" s="2"/>
      <c r="N513" s="2"/>
      <c r="O513" s="2"/>
      <c r="P513" s="2"/>
      <c r="Q513" s="2"/>
      <c r="R513" s="2"/>
      <c r="S513" s="2"/>
      <c r="T513" s="2"/>
      <c r="U513" s="2"/>
      <c r="V513" s="2"/>
      <c r="W513" s="2"/>
      <c r="X513" s="3"/>
      <c r="Y513" s="2"/>
      <c r="Z513" s="2"/>
      <c r="AA513" s="2"/>
      <c r="AB513" s="2"/>
      <c r="AC513" s="2"/>
      <c r="AD513" s="2"/>
      <c r="AE513" s="2"/>
      <c r="AF513" s="2"/>
      <c r="AG513" s="2"/>
      <c r="AH513" s="2"/>
      <c r="AI513" s="2"/>
      <c r="AJ513" s="2"/>
      <c r="AK513" s="2"/>
      <c r="AL513" s="2"/>
    </row>
    <row r="514">
      <c r="A514" s="1"/>
      <c r="B514" s="2"/>
      <c r="C514" s="2"/>
      <c r="D514" s="2"/>
      <c r="E514" s="2"/>
      <c r="F514" s="2"/>
      <c r="G514" s="2"/>
      <c r="H514" s="2"/>
      <c r="I514" s="2"/>
      <c r="J514" s="2"/>
      <c r="K514" s="2"/>
      <c r="L514" s="2"/>
      <c r="M514" s="2"/>
      <c r="N514" s="2"/>
      <c r="O514" s="2"/>
      <c r="P514" s="2"/>
      <c r="Q514" s="2"/>
      <c r="R514" s="2"/>
      <c r="S514" s="2"/>
      <c r="T514" s="2"/>
      <c r="U514" s="2"/>
      <c r="V514" s="2"/>
      <c r="W514" s="2"/>
      <c r="X514" s="3"/>
      <c r="Y514" s="2"/>
      <c r="Z514" s="2"/>
      <c r="AA514" s="2"/>
      <c r="AB514" s="2"/>
      <c r="AC514" s="2"/>
      <c r="AD514" s="2"/>
      <c r="AE514" s="2"/>
      <c r="AF514" s="2"/>
      <c r="AG514" s="2"/>
      <c r="AH514" s="2"/>
      <c r="AI514" s="2"/>
      <c r="AJ514" s="2"/>
      <c r="AK514" s="2"/>
      <c r="AL514" s="2"/>
    </row>
    <row r="515">
      <c r="A515" s="1"/>
      <c r="B515" s="2"/>
      <c r="C515" s="2"/>
      <c r="D515" s="2"/>
      <c r="E515" s="2"/>
      <c r="F515" s="2"/>
      <c r="G515" s="2"/>
      <c r="H515" s="2"/>
      <c r="I515" s="2"/>
      <c r="J515" s="2"/>
      <c r="K515" s="2"/>
      <c r="L515" s="2"/>
      <c r="M515" s="2"/>
      <c r="N515" s="2"/>
      <c r="O515" s="2"/>
      <c r="P515" s="2"/>
      <c r="Q515" s="2"/>
      <c r="R515" s="2"/>
      <c r="S515" s="2"/>
      <c r="T515" s="2"/>
      <c r="U515" s="2"/>
      <c r="V515" s="2"/>
      <c r="W515" s="2"/>
      <c r="X515" s="3"/>
      <c r="Y515" s="2"/>
      <c r="Z515" s="2"/>
      <c r="AA515" s="2"/>
      <c r="AB515" s="2"/>
      <c r="AC515" s="2"/>
      <c r="AD515" s="2"/>
      <c r="AE515" s="2"/>
      <c r="AF515" s="2"/>
      <c r="AG515" s="2"/>
      <c r="AH515" s="2"/>
      <c r="AI515" s="2"/>
      <c r="AJ515" s="2"/>
      <c r="AK515" s="2"/>
      <c r="AL515" s="2"/>
    </row>
    <row r="516">
      <c r="A516" s="1"/>
      <c r="B516" s="2"/>
      <c r="C516" s="2"/>
      <c r="D516" s="2"/>
      <c r="E516" s="2"/>
      <c r="F516" s="2"/>
      <c r="G516" s="2"/>
      <c r="H516" s="2"/>
      <c r="I516" s="2"/>
      <c r="J516" s="2"/>
      <c r="K516" s="2"/>
      <c r="L516" s="2"/>
      <c r="M516" s="2"/>
      <c r="N516" s="2"/>
      <c r="O516" s="2"/>
      <c r="P516" s="2"/>
      <c r="Q516" s="2"/>
      <c r="R516" s="2"/>
      <c r="S516" s="2"/>
      <c r="T516" s="2"/>
      <c r="U516" s="2"/>
      <c r="V516" s="2"/>
      <c r="W516" s="2"/>
      <c r="X516" s="3"/>
      <c r="Y516" s="2"/>
      <c r="Z516" s="2"/>
      <c r="AA516" s="2"/>
      <c r="AB516" s="2"/>
      <c r="AC516" s="2"/>
      <c r="AD516" s="2"/>
      <c r="AE516" s="2"/>
      <c r="AF516" s="2"/>
      <c r="AG516" s="2"/>
      <c r="AH516" s="2"/>
      <c r="AI516" s="2"/>
      <c r="AJ516" s="2"/>
      <c r="AK516" s="2"/>
      <c r="AL516" s="2"/>
    </row>
    <row r="517">
      <c r="A517" s="1"/>
      <c r="B517" s="2"/>
      <c r="C517" s="2"/>
      <c r="D517" s="2"/>
      <c r="E517" s="2"/>
      <c r="F517" s="2"/>
      <c r="G517" s="2"/>
      <c r="H517" s="2"/>
      <c r="I517" s="2"/>
      <c r="J517" s="2"/>
      <c r="K517" s="2"/>
      <c r="L517" s="2"/>
      <c r="M517" s="2"/>
      <c r="N517" s="2"/>
      <c r="O517" s="2"/>
      <c r="P517" s="2"/>
      <c r="Q517" s="2"/>
      <c r="R517" s="2"/>
      <c r="S517" s="2"/>
      <c r="T517" s="2"/>
      <c r="U517" s="2"/>
      <c r="V517" s="2"/>
      <c r="W517" s="2"/>
      <c r="X517" s="3"/>
      <c r="Y517" s="2"/>
      <c r="Z517" s="2"/>
      <c r="AA517" s="2"/>
      <c r="AB517" s="2"/>
      <c r="AC517" s="2"/>
      <c r="AD517" s="2"/>
      <c r="AE517" s="2"/>
      <c r="AF517" s="2"/>
      <c r="AG517" s="2"/>
      <c r="AH517" s="2"/>
      <c r="AI517" s="2"/>
      <c r="AJ517" s="2"/>
      <c r="AK517" s="2"/>
      <c r="AL517" s="2"/>
    </row>
    <row r="518">
      <c r="A518" s="1"/>
      <c r="B518" s="2"/>
      <c r="C518" s="2"/>
      <c r="D518" s="2"/>
      <c r="E518" s="2"/>
      <c r="F518" s="2"/>
      <c r="G518" s="2"/>
      <c r="H518" s="2"/>
      <c r="I518" s="2"/>
      <c r="J518" s="2"/>
      <c r="K518" s="2"/>
      <c r="L518" s="2"/>
      <c r="M518" s="2"/>
      <c r="N518" s="2"/>
      <c r="O518" s="2"/>
      <c r="P518" s="2"/>
      <c r="Q518" s="2"/>
      <c r="R518" s="2"/>
      <c r="S518" s="2"/>
      <c r="T518" s="2"/>
      <c r="U518" s="2"/>
      <c r="V518" s="2"/>
      <c r="W518" s="2"/>
      <c r="X518" s="3"/>
      <c r="Y518" s="2"/>
      <c r="Z518" s="2"/>
      <c r="AA518" s="2"/>
      <c r="AB518" s="2"/>
      <c r="AC518" s="2"/>
      <c r="AD518" s="2"/>
      <c r="AE518" s="2"/>
      <c r="AF518" s="2"/>
      <c r="AG518" s="2"/>
      <c r="AH518" s="2"/>
      <c r="AI518" s="2"/>
      <c r="AJ518" s="2"/>
      <c r="AK518" s="2"/>
      <c r="AL518" s="2"/>
    </row>
    <row r="519">
      <c r="A519" s="1"/>
      <c r="B519" s="2"/>
      <c r="C519" s="2"/>
      <c r="D519" s="2"/>
      <c r="E519" s="2"/>
      <c r="F519" s="2"/>
      <c r="G519" s="2"/>
      <c r="H519" s="2"/>
      <c r="I519" s="2"/>
      <c r="J519" s="2"/>
      <c r="K519" s="2"/>
      <c r="L519" s="2"/>
      <c r="M519" s="2"/>
      <c r="N519" s="2"/>
      <c r="O519" s="2"/>
      <c r="P519" s="2"/>
      <c r="Q519" s="2"/>
      <c r="R519" s="2"/>
      <c r="S519" s="2"/>
      <c r="T519" s="2"/>
      <c r="U519" s="2"/>
      <c r="V519" s="2"/>
      <c r="W519" s="2"/>
      <c r="X519" s="3"/>
      <c r="Y519" s="2"/>
      <c r="Z519" s="2"/>
      <c r="AA519" s="2"/>
      <c r="AB519" s="2"/>
      <c r="AC519" s="2"/>
      <c r="AD519" s="2"/>
      <c r="AE519" s="2"/>
      <c r="AF519" s="2"/>
      <c r="AG519" s="2"/>
      <c r="AH519" s="2"/>
      <c r="AI519" s="2"/>
      <c r="AJ519" s="2"/>
      <c r="AK519" s="2"/>
      <c r="AL519" s="2"/>
    </row>
    <row r="520">
      <c r="A520" s="1"/>
      <c r="B520" s="2"/>
      <c r="C520" s="2"/>
      <c r="D520" s="2"/>
      <c r="E520" s="2"/>
      <c r="F520" s="2"/>
      <c r="G520" s="2"/>
      <c r="H520" s="2"/>
      <c r="I520" s="2"/>
      <c r="J520" s="2"/>
      <c r="K520" s="2"/>
      <c r="L520" s="2"/>
      <c r="M520" s="2"/>
      <c r="N520" s="2"/>
      <c r="O520" s="2"/>
      <c r="P520" s="2"/>
      <c r="Q520" s="2"/>
      <c r="R520" s="2"/>
      <c r="S520" s="2"/>
      <c r="T520" s="2"/>
      <c r="U520" s="2"/>
      <c r="V520" s="2"/>
      <c r="W520" s="2"/>
      <c r="X520" s="3"/>
      <c r="Y520" s="2"/>
      <c r="Z520" s="2"/>
      <c r="AA520" s="2"/>
      <c r="AB520" s="2"/>
      <c r="AC520" s="2"/>
      <c r="AD520" s="2"/>
      <c r="AE520" s="2"/>
      <c r="AF520" s="2"/>
      <c r="AG520" s="2"/>
      <c r="AH520" s="2"/>
      <c r="AI520" s="2"/>
      <c r="AJ520" s="2"/>
      <c r="AK520" s="2"/>
      <c r="AL520" s="2"/>
    </row>
    <row r="521">
      <c r="A521" s="1"/>
      <c r="B521" s="2"/>
      <c r="C521" s="2"/>
      <c r="D521" s="2"/>
      <c r="E521" s="2"/>
      <c r="F521" s="2"/>
      <c r="G521" s="2"/>
      <c r="H521" s="2"/>
      <c r="I521" s="2"/>
      <c r="J521" s="2"/>
      <c r="K521" s="2"/>
      <c r="L521" s="2"/>
      <c r="M521" s="2"/>
      <c r="N521" s="2"/>
      <c r="O521" s="2"/>
      <c r="P521" s="2"/>
      <c r="Q521" s="2"/>
      <c r="R521" s="2"/>
      <c r="S521" s="2"/>
      <c r="T521" s="2"/>
      <c r="U521" s="2"/>
      <c r="V521" s="2"/>
      <c r="W521" s="2"/>
      <c r="X521" s="3"/>
      <c r="Y521" s="2"/>
      <c r="Z521" s="2"/>
      <c r="AA521" s="2"/>
      <c r="AB521" s="2"/>
      <c r="AC521" s="2"/>
      <c r="AD521" s="2"/>
      <c r="AE521" s="2"/>
      <c r="AF521" s="2"/>
      <c r="AG521" s="2"/>
      <c r="AH521" s="2"/>
      <c r="AI521" s="2"/>
      <c r="AJ521" s="2"/>
      <c r="AK521" s="2"/>
      <c r="AL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3"/>
      <c r="Y522" s="2"/>
      <c r="Z522" s="2"/>
      <c r="AA522" s="2"/>
      <c r="AB522" s="2"/>
      <c r="AC522" s="2"/>
      <c r="AD522" s="2"/>
      <c r="AE522" s="2"/>
      <c r="AF522" s="2"/>
      <c r="AG522" s="2"/>
      <c r="AH522" s="2"/>
      <c r="AI522" s="2"/>
      <c r="AJ522" s="2"/>
      <c r="AK522" s="2"/>
      <c r="AL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3"/>
      <c r="Y523" s="2"/>
      <c r="Z523" s="2"/>
      <c r="AA523" s="2"/>
      <c r="AB523" s="2"/>
      <c r="AC523" s="2"/>
      <c r="AD523" s="2"/>
      <c r="AE523" s="2"/>
      <c r="AF523" s="2"/>
      <c r="AG523" s="2"/>
      <c r="AH523" s="2"/>
      <c r="AI523" s="2"/>
      <c r="AJ523" s="2"/>
      <c r="AK523" s="2"/>
      <c r="AL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3"/>
      <c r="Y524" s="2"/>
      <c r="Z524" s="2"/>
      <c r="AA524" s="2"/>
      <c r="AB524" s="2"/>
      <c r="AC524" s="2"/>
      <c r="AD524" s="2"/>
      <c r="AE524" s="2"/>
      <c r="AF524" s="2"/>
      <c r="AG524" s="2"/>
      <c r="AH524" s="2"/>
      <c r="AI524" s="2"/>
      <c r="AJ524" s="2"/>
      <c r="AK524" s="2"/>
      <c r="AL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3"/>
      <c r="Y525" s="2"/>
      <c r="Z525" s="2"/>
      <c r="AA525" s="2"/>
      <c r="AB525" s="2"/>
      <c r="AC525" s="2"/>
      <c r="AD525" s="2"/>
      <c r="AE525" s="2"/>
      <c r="AF525" s="2"/>
      <c r="AG525" s="2"/>
      <c r="AH525" s="2"/>
      <c r="AI525" s="2"/>
      <c r="AJ525" s="2"/>
      <c r="AK525" s="2"/>
      <c r="AL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3"/>
      <c r="Y526" s="2"/>
      <c r="Z526" s="2"/>
      <c r="AA526" s="2"/>
      <c r="AB526" s="2"/>
      <c r="AC526" s="2"/>
      <c r="AD526" s="2"/>
      <c r="AE526" s="2"/>
      <c r="AF526" s="2"/>
      <c r="AG526" s="2"/>
      <c r="AH526" s="2"/>
      <c r="AI526" s="2"/>
      <c r="AJ526" s="2"/>
      <c r="AK526" s="2"/>
      <c r="AL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3"/>
      <c r="Y527" s="2"/>
      <c r="Z527" s="2"/>
      <c r="AA527" s="2"/>
      <c r="AB527" s="2"/>
      <c r="AC527" s="2"/>
      <c r="AD527" s="2"/>
      <c r="AE527" s="2"/>
      <c r="AF527" s="2"/>
      <c r="AG527" s="2"/>
      <c r="AH527" s="2"/>
      <c r="AI527" s="2"/>
      <c r="AJ527" s="2"/>
      <c r="AK527" s="2"/>
      <c r="AL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3"/>
      <c r="Y528" s="2"/>
      <c r="Z528" s="2"/>
      <c r="AA528" s="2"/>
      <c r="AB528" s="2"/>
      <c r="AC528" s="2"/>
      <c r="AD528" s="2"/>
      <c r="AE528" s="2"/>
      <c r="AF528" s="2"/>
      <c r="AG528" s="2"/>
      <c r="AH528" s="2"/>
      <c r="AI528" s="2"/>
      <c r="AJ528" s="2"/>
      <c r="AK528" s="2"/>
      <c r="AL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3"/>
      <c r="Y529" s="2"/>
      <c r="Z529" s="2"/>
      <c r="AA529" s="2"/>
      <c r="AB529" s="2"/>
      <c r="AC529" s="2"/>
      <c r="AD529" s="2"/>
      <c r="AE529" s="2"/>
      <c r="AF529" s="2"/>
      <c r="AG529" s="2"/>
      <c r="AH529" s="2"/>
      <c r="AI529" s="2"/>
      <c r="AJ529" s="2"/>
      <c r="AK529" s="2"/>
      <c r="AL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3"/>
      <c r="Y530" s="2"/>
      <c r="Z530" s="2"/>
      <c r="AA530" s="2"/>
      <c r="AB530" s="2"/>
      <c r="AC530" s="2"/>
      <c r="AD530" s="2"/>
      <c r="AE530" s="2"/>
      <c r="AF530" s="2"/>
      <c r="AG530" s="2"/>
      <c r="AH530" s="2"/>
      <c r="AI530" s="2"/>
      <c r="AJ530" s="2"/>
      <c r="AK530" s="2"/>
      <c r="AL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3"/>
      <c r="Y531" s="2"/>
      <c r="Z531" s="2"/>
      <c r="AA531" s="2"/>
      <c r="AB531" s="2"/>
      <c r="AC531" s="2"/>
      <c r="AD531" s="2"/>
      <c r="AE531" s="2"/>
      <c r="AF531" s="2"/>
      <c r="AG531" s="2"/>
      <c r="AH531" s="2"/>
      <c r="AI531" s="2"/>
      <c r="AJ531" s="2"/>
      <c r="AK531" s="2"/>
      <c r="AL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3"/>
      <c r="Y532" s="2"/>
      <c r="Z532" s="2"/>
      <c r="AA532" s="2"/>
      <c r="AB532" s="2"/>
      <c r="AC532" s="2"/>
      <c r="AD532" s="2"/>
      <c r="AE532" s="2"/>
      <c r="AF532" s="2"/>
      <c r="AG532" s="2"/>
      <c r="AH532" s="2"/>
      <c r="AI532" s="2"/>
      <c r="AJ532" s="2"/>
      <c r="AK532" s="2"/>
      <c r="AL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3"/>
      <c r="Y533" s="2"/>
      <c r="Z533" s="2"/>
      <c r="AA533" s="2"/>
      <c r="AB533" s="2"/>
      <c r="AC533" s="2"/>
      <c r="AD533" s="2"/>
      <c r="AE533" s="2"/>
      <c r="AF533" s="2"/>
      <c r="AG533" s="2"/>
      <c r="AH533" s="2"/>
      <c r="AI533" s="2"/>
      <c r="AJ533" s="2"/>
      <c r="AK533" s="2"/>
      <c r="AL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3"/>
      <c r="Y534" s="2"/>
      <c r="Z534" s="2"/>
      <c r="AA534" s="2"/>
      <c r="AB534" s="2"/>
      <c r="AC534" s="2"/>
      <c r="AD534" s="2"/>
      <c r="AE534" s="2"/>
      <c r="AF534" s="2"/>
      <c r="AG534" s="2"/>
      <c r="AH534" s="2"/>
      <c r="AI534" s="2"/>
      <c r="AJ534" s="2"/>
      <c r="AK534" s="2"/>
      <c r="AL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3"/>
      <c r="Y535" s="2"/>
      <c r="Z535" s="2"/>
      <c r="AA535" s="2"/>
      <c r="AB535" s="2"/>
      <c r="AC535" s="2"/>
      <c r="AD535" s="2"/>
      <c r="AE535" s="2"/>
      <c r="AF535" s="2"/>
      <c r="AG535" s="2"/>
      <c r="AH535" s="2"/>
      <c r="AI535" s="2"/>
      <c r="AJ535" s="2"/>
      <c r="AK535" s="2"/>
      <c r="AL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3"/>
      <c r="Y536" s="2"/>
      <c r="Z536" s="2"/>
      <c r="AA536" s="2"/>
      <c r="AB536" s="2"/>
      <c r="AC536" s="2"/>
      <c r="AD536" s="2"/>
      <c r="AE536" s="2"/>
      <c r="AF536" s="2"/>
      <c r="AG536" s="2"/>
      <c r="AH536" s="2"/>
      <c r="AI536" s="2"/>
      <c r="AJ536" s="2"/>
      <c r="AK536" s="2"/>
      <c r="AL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3"/>
      <c r="Y537" s="2"/>
      <c r="Z537" s="2"/>
      <c r="AA537" s="2"/>
      <c r="AB537" s="2"/>
      <c r="AC537" s="2"/>
      <c r="AD537" s="2"/>
      <c r="AE537" s="2"/>
      <c r="AF537" s="2"/>
      <c r="AG537" s="2"/>
      <c r="AH537" s="2"/>
      <c r="AI537" s="2"/>
      <c r="AJ537" s="2"/>
      <c r="AK537" s="2"/>
      <c r="AL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3"/>
      <c r="Y538" s="2"/>
      <c r="Z538" s="2"/>
      <c r="AA538" s="2"/>
      <c r="AB538" s="2"/>
      <c r="AC538" s="2"/>
      <c r="AD538" s="2"/>
      <c r="AE538" s="2"/>
      <c r="AF538" s="2"/>
      <c r="AG538" s="2"/>
      <c r="AH538" s="2"/>
      <c r="AI538" s="2"/>
      <c r="AJ538" s="2"/>
      <c r="AK538" s="2"/>
      <c r="AL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3"/>
      <c r="Y539" s="2"/>
      <c r="Z539" s="2"/>
      <c r="AA539" s="2"/>
      <c r="AB539" s="2"/>
      <c r="AC539" s="2"/>
      <c r="AD539" s="2"/>
      <c r="AE539" s="2"/>
      <c r="AF539" s="2"/>
      <c r="AG539" s="2"/>
      <c r="AH539" s="2"/>
      <c r="AI539" s="2"/>
      <c r="AJ539" s="2"/>
      <c r="AK539" s="2"/>
      <c r="AL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3"/>
      <c r="Y540" s="2"/>
      <c r="Z540" s="2"/>
      <c r="AA540" s="2"/>
      <c r="AB540" s="2"/>
      <c r="AC540" s="2"/>
      <c r="AD540" s="2"/>
      <c r="AE540" s="2"/>
      <c r="AF540" s="2"/>
      <c r="AG540" s="2"/>
      <c r="AH540" s="2"/>
      <c r="AI540" s="2"/>
      <c r="AJ540" s="2"/>
      <c r="AK540" s="2"/>
      <c r="AL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3"/>
      <c r="Y541" s="2"/>
      <c r="Z541" s="2"/>
      <c r="AA541" s="2"/>
      <c r="AB541" s="2"/>
      <c r="AC541" s="2"/>
      <c r="AD541" s="2"/>
      <c r="AE541" s="2"/>
      <c r="AF541" s="2"/>
      <c r="AG541" s="2"/>
      <c r="AH541" s="2"/>
      <c r="AI541" s="2"/>
      <c r="AJ541" s="2"/>
      <c r="AK541" s="2"/>
      <c r="AL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3"/>
      <c r="Y542" s="2"/>
      <c r="Z542" s="2"/>
      <c r="AA542" s="2"/>
      <c r="AB542" s="2"/>
      <c r="AC542" s="2"/>
      <c r="AD542" s="2"/>
      <c r="AE542" s="2"/>
      <c r="AF542" s="2"/>
      <c r="AG542" s="2"/>
      <c r="AH542" s="2"/>
      <c r="AI542" s="2"/>
      <c r="AJ542" s="2"/>
      <c r="AK542" s="2"/>
      <c r="AL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3"/>
      <c r="Y543" s="2"/>
      <c r="Z543" s="2"/>
      <c r="AA543" s="2"/>
      <c r="AB543" s="2"/>
      <c r="AC543" s="2"/>
      <c r="AD543" s="2"/>
      <c r="AE543" s="2"/>
      <c r="AF543" s="2"/>
      <c r="AG543" s="2"/>
      <c r="AH543" s="2"/>
      <c r="AI543" s="2"/>
      <c r="AJ543" s="2"/>
      <c r="AK543" s="2"/>
      <c r="AL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3"/>
      <c r="Y544" s="2"/>
      <c r="Z544" s="2"/>
      <c r="AA544" s="2"/>
      <c r="AB544" s="2"/>
      <c r="AC544" s="2"/>
      <c r="AD544" s="2"/>
      <c r="AE544" s="2"/>
      <c r="AF544" s="2"/>
      <c r="AG544" s="2"/>
      <c r="AH544" s="2"/>
      <c r="AI544" s="2"/>
      <c r="AJ544" s="2"/>
      <c r="AK544" s="2"/>
      <c r="AL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3"/>
      <c r="Y545" s="2"/>
      <c r="Z545" s="2"/>
      <c r="AA545" s="2"/>
      <c r="AB545" s="2"/>
      <c r="AC545" s="2"/>
      <c r="AD545" s="2"/>
      <c r="AE545" s="2"/>
      <c r="AF545" s="2"/>
      <c r="AG545" s="2"/>
      <c r="AH545" s="2"/>
      <c r="AI545" s="2"/>
      <c r="AJ545" s="2"/>
      <c r="AK545" s="2"/>
      <c r="AL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3"/>
      <c r="Y546" s="2"/>
      <c r="Z546" s="2"/>
      <c r="AA546" s="2"/>
      <c r="AB546" s="2"/>
      <c r="AC546" s="2"/>
      <c r="AD546" s="2"/>
      <c r="AE546" s="2"/>
      <c r="AF546" s="2"/>
      <c r="AG546" s="2"/>
      <c r="AH546" s="2"/>
      <c r="AI546" s="2"/>
      <c r="AJ546" s="2"/>
      <c r="AK546" s="2"/>
      <c r="AL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3"/>
      <c r="Y547" s="2"/>
      <c r="Z547" s="2"/>
      <c r="AA547" s="2"/>
      <c r="AB547" s="2"/>
      <c r="AC547" s="2"/>
      <c r="AD547" s="2"/>
      <c r="AE547" s="2"/>
      <c r="AF547" s="2"/>
      <c r="AG547" s="2"/>
      <c r="AH547" s="2"/>
      <c r="AI547" s="2"/>
      <c r="AJ547" s="2"/>
      <c r="AK547" s="2"/>
      <c r="AL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3"/>
      <c r="Y548" s="2"/>
      <c r="Z548" s="2"/>
      <c r="AA548" s="2"/>
      <c r="AB548" s="2"/>
      <c r="AC548" s="2"/>
      <c r="AD548" s="2"/>
      <c r="AE548" s="2"/>
      <c r="AF548" s="2"/>
      <c r="AG548" s="2"/>
      <c r="AH548" s="2"/>
      <c r="AI548" s="2"/>
      <c r="AJ548" s="2"/>
      <c r="AK548" s="2"/>
      <c r="AL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3"/>
      <c r="Y549" s="2"/>
      <c r="Z549" s="2"/>
      <c r="AA549" s="2"/>
      <c r="AB549" s="2"/>
      <c r="AC549" s="2"/>
      <c r="AD549" s="2"/>
      <c r="AE549" s="2"/>
      <c r="AF549" s="2"/>
      <c r="AG549" s="2"/>
      <c r="AH549" s="2"/>
      <c r="AI549" s="2"/>
      <c r="AJ549" s="2"/>
      <c r="AK549" s="2"/>
      <c r="AL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3"/>
      <c r="Y550" s="2"/>
      <c r="Z550" s="2"/>
      <c r="AA550" s="2"/>
      <c r="AB550" s="2"/>
      <c r="AC550" s="2"/>
      <c r="AD550" s="2"/>
      <c r="AE550" s="2"/>
      <c r="AF550" s="2"/>
      <c r="AG550" s="2"/>
      <c r="AH550" s="2"/>
      <c r="AI550" s="2"/>
      <c r="AJ550" s="2"/>
      <c r="AK550" s="2"/>
      <c r="AL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3"/>
      <c r="Y551" s="2"/>
      <c r="Z551" s="2"/>
      <c r="AA551" s="2"/>
      <c r="AB551" s="2"/>
      <c r="AC551" s="2"/>
      <c r="AD551" s="2"/>
      <c r="AE551" s="2"/>
      <c r="AF551" s="2"/>
      <c r="AG551" s="2"/>
      <c r="AH551" s="2"/>
      <c r="AI551" s="2"/>
      <c r="AJ551" s="2"/>
      <c r="AK551" s="2"/>
      <c r="AL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3"/>
      <c r="Y552" s="2"/>
      <c r="Z552" s="2"/>
      <c r="AA552" s="2"/>
      <c r="AB552" s="2"/>
      <c r="AC552" s="2"/>
      <c r="AD552" s="2"/>
      <c r="AE552" s="2"/>
      <c r="AF552" s="2"/>
      <c r="AG552" s="2"/>
      <c r="AH552" s="2"/>
      <c r="AI552" s="2"/>
      <c r="AJ552" s="2"/>
      <c r="AK552" s="2"/>
      <c r="AL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3"/>
      <c r="Y553" s="2"/>
      <c r="Z553" s="2"/>
      <c r="AA553" s="2"/>
      <c r="AB553" s="2"/>
      <c r="AC553" s="2"/>
      <c r="AD553" s="2"/>
      <c r="AE553" s="2"/>
      <c r="AF553" s="2"/>
      <c r="AG553" s="2"/>
      <c r="AH553" s="2"/>
      <c r="AI553" s="2"/>
      <c r="AJ553" s="2"/>
      <c r="AK553" s="2"/>
      <c r="AL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3"/>
      <c r="Y554" s="2"/>
      <c r="Z554" s="2"/>
      <c r="AA554" s="2"/>
      <c r="AB554" s="2"/>
      <c r="AC554" s="2"/>
      <c r="AD554" s="2"/>
      <c r="AE554" s="2"/>
      <c r="AF554" s="2"/>
      <c r="AG554" s="2"/>
      <c r="AH554" s="2"/>
      <c r="AI554" s="2"/>
      <c r="AJ554" s="2"/>
      <c r="AK554" s="2"/>
      <c r="AL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3"/>
      <c r="Y555" s="2"/>
      <c r="Z555" s="2"/>
      <c r="AA555" s="2"/>
      <c r="AB555" s="2"/>
      <c r="AC555" s="2"/>
      <c r="AD555" s="2"/>
      <c r="AE555" s="2"/>
      <c r="AF555" s="2"/>
      <c r="AG555" s="2"/>
      <c r="AH555" s="2"/>
      <c r="AI555" s="2"/>
      <c r="AJ555" s="2"/>
      <c r="AK555" s="2"/>
      <c r="AL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3"/>
      <c r="Y556" s="2"/>
      <c r="Z556" s="2"/>
      <c r="AA556" s="2"/>
      <c r="AB556" s="2"/>
      <c r="AC556" s="2"/>
      <c r="AD556" s="2"/>
      <c r="AE556" s="2"/>
      <c r="AF556" s="2"/>
      <c r="AG556" s="2"/>
      <c r="AH556" s="2"/>
      <c r="AI556" s="2"/>
      <c r="AJ556" s="2"/>
      <c r="AK556" s="2"/>
      <c r="AL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3"/>
      <c r="Y557" s="2"/>
      <c r="Z557" s="2"/>
      <c r="AA557" s="2"/>
      <c r="AB557" s="2"/>
      <c r="AC557" s="2"/>
      <c r="AD557" s="2"/>
      <c r="AE557" s="2"/>
      <c r="AF557" s="2"/>
      <c r="AG557" s="2"/>
      <c r="AH557" s="2"/>
      <c r="AI557" s="2"/>
      <c r="AJ557" s="2"/>
      <c r="AK557" s="2"/>
      <c r="AL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3"/>
      <c r="Y558" s="2"/>
      <c r="Z558" s="2"/>
      <c r="AA558" s="2"/>
      <c r="AB558" s="2"/>
      <c r="AC558" s="2"/>
      <c r="AD558" s="2"/>
      <c r="AE558" s="2"/>
      <c r="AF558" s="2"/>
      <c r="AG558" s="2"/>
      <c r="AH558" s="2"/>
      <c r="AI558" s="2"/>
      <c r="AJ558" s="2"/>
      <c r="AK558" s="2"/>
      <c r="AL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3"/>
      <c r="Y559" s="2"/>
      <c r="Z559" s="2"/>
      <c r="AA559" s="2"/>
      <c r="AB559" s="2"/>
      <c r="AC559" s="2"/>
      <c r="AD559" s="2"/>
      <c r="AE559" s="2"/>
      <c r="AF559" s="2"/>
      <c r="AG559" s="2"/>
      <c r="AH559" s="2"/>
      <c r="AI559" s="2"/>
      <c r="AJ559" s="2"/>
      <c r="AK559" s="2"/>
      <c r="AL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3"/>
      <c r="Y560" s="2"/>
      <c r="Z560" s="2"/>
      <c r="AA560" s="2"/>
      <c r="AB560" s="2"/>
      <c r="AC560" s="2"/>
      <c r="AD560" s="2"/>
      <c r="AE560" s="2"/>
      <c r="AF560" s="2"/>
      <c r="AG560" s="2"/>
      <c r="AH560" s="2"/>
      <c r="AI560" s="2"/>
      <c r="AJ560" s="2"/>
      <c r="AK560" s="2"/>
      <c r="AL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3"/>
      <c r="Y561" s="2"/>
      <c r="Z561" s="2"/>
      <c r="AA561" s="2"/>
      <c r="AB561" s="2"/>
      <c r="AC561" s="2"/>
      <c r="AD561" s="2"/>
      <c r="AE561" s="2"/>
      <c r="AF561" s="2"/>
      <c r="AG561" s="2"/>
      <c r="AH561" s="2"/>
      <c r="AI561" s="2"/>
      <c r="AJ561" s="2"/>
      <c r="AK561" s="2"/>
      <c r="AL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3"/>
      <c r="Y562" s="2"/>
      <c r="Z562" s="2"/>
      <c r="AA562" s="2"/>
      <c r="AB562" s="2"/>
      <c r="AC562" s="2"/>
      <c r="AD562" s="2"/>
      <c r="AE562" s="2"/>
      <c r="AF562" s="2"/>
      <c r="AG562" s="2"/>
      <c r="AH562" s="2"/>
      <c r="AI562" s="2"/>
      <c r="AJ562" s="2"/>
      <c r="AK562" s="2"/>
      <c r="AL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3"/>
      <c r="Y563" s="2"/>
      <c r="Z563" s="2"/>
      <c r="AA563" s="2"/>
      <c r="AB563" s="2"/>
      <c r="AC563" s="2"/>
      <c r="AD563" s="2"/>
      <c r="AE563" s="2"/>
      <c r="AF563" s="2"/>
      <c r="AG563" s="2"/>
      <c r="AH563" s="2"/>
      <c r="AI563" s="2"/>
      <c r="AJ563" s="2"/>
      <c r="AK563" s="2"/>
      <c r="AL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3"/>
      <c r="Y564" s="2"/>
      <c r="Z564" s="2"/>
      <c r="AA564" s="2"/>
      <c r="AB564" s="2"/>
      <c r="AC564" s="2"/>
      <c r="AD564" s="2"/>
      <c r="AE564" s="2"/>
      <c r="AF564" s="2"/>
      <c r="AG564" s="2"/>
      <c r="AH564" s="2"/>
      <c r="AI564" s="2"/>
      <c r="AJ564" s="2"/>
      <c r="AK564" s="2"/>
      <c r="AL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3"/>
      <c r="Y565" s="2"/>
      <c r="Z565" s="2"/>
      <c r="AA565" s="2"/>
      <c r="AB565" s="2"/>
      <c r="AC565" s="2"/>
      <c r="AD565" s="2"/>
      <c r="AE565" s="2"/>
      <c r="AF565" s="2"/>
      <c r="AG565" s="2"/>
      <c r="AH565" s="2"/>
      <c r="AI565" s="2"/>
      <c r="AJ565" s="2"/>
      <c r="AK565" s="2"/>
      <c r="AL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3"/>
      <c r="Y566" s="2"/>
      <c r="Z566" s="2"/>
      <c r="AA566" s="2"/>
      <c r="AB566" s="2"/>
      <c r="AC566" s="2"/>
      <c r="AD566" s="2"/>
      <c r="AE566" s="2"/>
      <c r="AF566" s="2"/>
      <c r="AG566" s="2"/>
      <c r="AH566" s="2"/>
      <c r="AI566" s="2"/>
      <c r="AJ566" s="2"/>
      <c r="AK566" s="2"/>
      <c r="AL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3"/>
      <c r="Y567" s="2"/>
      <c r="Z567" s="2"/>
      <c r="AA567" s="2"/>
      <c r="AB567" s="2"/>
      <c r="AC567" s="2"/>
      <c r="AD567" s="2"/>
      <c r="AE567" s="2"/>
      <c r="AF567" s="2"/>
      <c r="AG567" s="2"/>
      <c r="AH567" s="2"/>
      <c r="AI567" s="2"/>
      <c r="AJ567" s="2"/>
      <c r="AK567" s="2"/>
      <c r="AL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3"/>
      <c r="Y568" s="2"/>
      <c r="Z568" s="2"/>
      <c r="AA568" s="2"/>
      <c r="AB568" s="2"/>
      <c r="AC568" s="2"/>
      <c r="AD568" s="2"/>
      <c r="AE568" s="2"/>
      <c r="AF568" s="2"/>
      <c r="AG568" s="2"/>
      <c r="AH568" s="2"/>
      <c r="AI568" s="2"/>
      <c r="AJ568" s="2"/>
      <c r="AK568" s="2"/>
      <c r="AL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3"/>
      <c r="Y569" s="2"/>
      <c r="Z569" s="2"/>
      <c r="AA569" s="2"/>
      <c r="AB569" s="2"/>
      <c r="AC569" s="2"/>
      <c r="AD569" s="2"/>
      <c r="AE569" s="2"/>
      <c r="AF569" s="2"/>
      <c r="AG569" s="2"/>
      <c r="AH569" s="2"/>
      <c r="AI569" s="2"/>
      <c r="AJ569" s="2"/>
      <c r="AK569" s="2"/>
      <c r="AL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3"/>
      <c r="Y570" s="2"/>
      <c r="Z570" s="2"/>
      <c r="AA570" s="2"/>
      <c r="AB570" s="2"/>
      <c r="AC570" s="2"/>
      <c r="AD570" s="2"/>
      <c r="AE570" s="2"/>
      <c r="AF570" s="2"/>
      <c r="AG570" s="2"/>
      <c r="AH570" s="2"/>
      <c r="AI570" s="2"/>
      <c r="AJ570" s="2"/>
      <c r="AK570" s="2"/>
      <c r="AL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3"/>
      <c r="Y571" s="2"/>
      <c r="Z571" s="2"/>
      <c r="AA571" s="2"/>
      <c r="AB571" s="2"/>
      <c r="AC571" s="2"/>
      <c r="AD571" s="2"/>
      <c r="AE571" s="2"/>
      <c r="AF571" s="2"/>
      <c r="AG571" s="2"/>
      <c r="AH571" s="2"/>
      <c r="AI571" s="2"/>
      <c r="AJ571" s="2"/>
      <c r="AK571" s="2"/>
      <c r="AL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3"/>
      <c r="Y572" s="2"/>
      <c r="Z572" s="2"/>
      <c r="AA572" s="2"/>
      <c r="AB572" s="2"/>
      <c r="AC572" s="2"/>
      <c r="AD572" s="2"/>
      <c r="AE572" s="2"/>
      <c r="AF572" s="2"/>
      <c r="AG572" s="2"/>
      <c r="AH572" s="2"/>
      <c r="AI572" s="2"/>
      <c r="AJ572" s="2"/>
      <c r="AK572" s="2"/>
      <c r="AL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3"/>
      <c r="Y573" s="2"/>
      <c r="Z573" s="2"/>
      <c r="AA573" s="2"/>
      <c r="AB573" s="2"/>
      <c r="AC573" s="2"/>
      <c r="AD573" s="2"/>
      <c r="AE573" s="2"/>
      <c r="AF573" s="2"/>
      <c r="AG573" s="2"/>
      <c r="AH573" s="2"/>
      <c r="AI573" s="2"/>
      <c r="AJ573" s="2"/>
      <c r="AK573" s="2"/>
      <c r="AL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3"/>
      <c r="Y574" s="2"/>
      <c r="Z574" s="2"/>
      <c r="AA574" s="2"/>
      <c r="AB574" s="2"/>
      <c r="AC574" s="2"/>
      <c r="AD574" s="2"/>
      <c r="AE574" s="2"/>
      <c r="AF574" s="2"/>
      <c r="AG574" s="2"/>
      <c r="AH574" s="2"/>
      <c r="AI574" s="2"/>
      <c r="AJ574" s="2"/>
      <c r="AK574" s="2"/>
      <c r="AL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3"/>
      <c r="Y575" s="2"/>
      <c r="Z575" s="2"/>
      <c r="AA575" s="2"/>
      <c r="AB575" s="2"/>
      <c r="AC575" s="2"/>
      <c r="AD575" s="2"/>
      <c r="AE575" s="2"/>
      <c r="AF575" s="2"/>
      <c r="AG575" s="2"/>
      <c r="AH575" s="2"/>
      <c r="AI575" s="2"/>
      <c r="AJ575" s="2"/>
      <c r="AK575" s="2"/>
      <c r="AL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3"/>
      <c r="Y576" s="2"/>
      <c r="Z576" s="2"/>
      <c r="AA576" s="2"/>
      <c r="AB576" s="2"/>
      <c r="AC576" s="2"/>
      <c r="AD576" s="2"/>
      <c r="AE576" s="2"/>
      <c r="AF576" s="2"/>
      <c r="AG576" s="2"/>
      <c r="AH576" s="2"/>
      <c r="AI576" s="2"/>
      <c r="AJ576" s="2"/>
      <c r="AK576" s="2"/>
      <c r="AL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3"/>
      <c r="Y577" s="2"/>
      <c r="Z577" s="2"/>
      <c r="AA577" s="2"/>
      <c r="AB577" s="2"/>
      <c r="AC577" s="2"/>
      <c r="AD577" s="2"/>
      <c r="AE577" s="2"/>
      <c r="AF577" s="2"/>
      <c r="AG577" s="2"/>
      <c r="AH577" s="2"/>
      <c r="AI577" s="2"/>
      <c r="AJ577" s="2"/>
      <c r="AK577" s="2"/>
      <c r="AL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3"/>
      <c r="Y578" s="2"/>
      <c r="Z578" s="2"/>
      <c r="AA578" s="2"/>
      <c r="AB578" s="2"/>
      <c r="AC578" s="2"/>
      <c r="AD578" s="2"/>
      <c r="AE578" s="2"/>
      <c r="AF578" s="2"/>
      <c r="AG578" s="2"/>
      <c r="AH578" s="2"/>
      <c r="AI578" s="2"/>
      <c r="AJ578" s="2"/>
      <c r="AK578" s="2"/>
      <c r="AL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3"/>
      <c r="Y579" s="2"/>
      <c r="Z579" s="2"/>
      <c r="AA579" s="2"/>
      <c r="AB579" s="2"/>
      <c r="AC579" s="2"/>
      <c r="AD579" s="2"/>
      <c r="AE579" s="2"/>
      <c r="AF579" s="2"/>
      <c r="AG579" s="2"/>
      <c r="AH579" s="2"/>
      <c r="AI579" s="2"/>
      <c r="AJ579" s="2"/>
      <c r="AK579" s="2"/>
      <c r="AL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3"/>
      <c r="Y580" s="2"/>
      <c r="Z580" s="2"/>
      <c r="AA580" s="2"/>
      <c r="AB580" s="2"/>
      <c r="AC580" s="2"/>
      <c r="AD580" s="2"/>
      <c r="AE580" s="2"/>
      <c r="AF580" s="2"/>
      <c r="AG580" s="2"/>
      <c r="AH580" s="2"/>
      <c r="AI580" s="2"/>
      <c r="AJ580" s="2"/>
      <c r="AK580" s="2"/>
      <c r="AL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3"/>
      <c r="Y581" s="2"/>
      <c r="Z581" s="2"/>
      <c r="AA581" s="2"/>
      <c r="AB581" s="2"/>
      <c r="AC581" s="2"/>
      <c r="AD581" s="2"/>
      <c r="AE581" s="2"/>
      <c r="AF581" s="2"/>
      <c r="AG581" s="2"/>
      <c r="AH581" s="2"/>
      <c r="AI581" s="2"/>
      <c r="AJ581" s="2"/>
      <c r="AK581" s="2"/>
      <c r="AL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3"/>
      <c r="Y582" s="2"/>
      <c r="Z582" s="2"/>
      <c r="AA582" s="2"/>
      <c r="AB582" s="2"/>
      <c r="AC582" s="2"/>
      <c r="AD582" s="2"/>
      <c r="AE582" s="2"/>
      <c r="AF582" s="2"/>
      <c r="AG582" s="2"/>
      <c r="AH582" s="2"/>
      <c r="AI582" s="2"/>
      <c r="AJ582" s="2"/>
      <c r="AK582" s="2"/>
      <c r="AL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3"/>
      <c r="Y583" s="2"/>
      <c r="Z583" s="2"/>
      <c r="AA583" s="2"/>
      <c r="AB583" s="2"/>
      <c r="AC583" s="2"/>
      <c r="AD583" s="2"/>
      <c r="AE583" s="2"/>
      <c r="AF583" s="2"/>
      <c r="AG583" s="2"/>
      <c r="AH583" s="2"/>
      <c r="AI583" s="2"/>
      <c r="AJ583" s="2"/>
      <c r="AK583" s="2"/>
      <c r="AL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3"/>
      <c r="Y584" s="2"/>
      <c r="Z584" s="2"/>
      <c r="AA584" s="2"/>
      <c r="AB584" s="2"/>
      <c r="AC584" s="2"/>
      <c r="AD584" s="2"/>
      <c r="AE584" s="2"/>
      <c r="AF584" s="2"/>
      <c r="AG584" s="2"/>
      <c r="AH584" s="2"/>
      <c r="AI584" s="2"/>
      <c r="AJ584" s="2"/>
      <c r="AK584" s="2"/>
      <c r="AL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3"/>
      <c r="Y585" s="2"/>
      <c r="Z585" s="2"/>
      <c r="AA585" s="2"/>
      <c r="AB585" s="2"/>
      <c r="AC585" s="2"/>
      <c r="AD585" s="2"/>
      <c r="AE585" s="2"/>
      <c r="AF585" s="2"/>
      <c r="AG585" s="2"/>
      <c r="AH585" s="2"/>
      <c r="AI585" s="2"/>
      <c r="AJ585" s="2"/>
      <c r="AK585" s="2"/>
      <c r="AL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3"/>
      <c r="Y586" s="2"/>
      <c r="Z586" s="2"/>
      <c r="AA586" s="2"/>
      <c r="AB586" s="2"/>
      <c r="AC586" s="2"/>
      <c r="AD586" s="2"/>
      <c r="AE586" s="2"/>
      <c r="AF586" s="2"/>
      <c r="AG586" s="2"/>
      <c r="AH586" s="2"/>
      <c r="AI586" s="2"/>
      <c r="AJ586" s="2"/>
      <c r="AK586" s="2"/>
      <c r="AL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3"/>
      <c r="Y587" s="2"/>
      <c r="Z587" s="2"/>
      <c r="AA587" s="2"/>
      <c r="AB587" s="2"/>
      <c r="AC587" s="2"/>
      <c r="AD587" s="2"/>
      <c r="AE587" s="2"/>
      <c r="AF587" s="2"/>
      <c r="AG587" s="2"/>
      <c r="AH587" s="2"/>
      <c r="AI587" s="2"/>
      <c r="AJ587" s="2"/>
      <c r="AK587" s="2"/>
      <c r="AL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3"/>
      <c r="Y588" s="2"/>
      <c r="Z588" s="2"/>
      <c r="AA588" s="2"/>
      <c r="AB588" s="2"/>
      <c r="AC588" s="2"/>
      <c r="AD588" s="2"/>
      <c r="AE588" s="2"/>
      <c r="AF588" s="2"/>
      <c r="AG588" s="2"/>
      <c r="AH588" s="2"/>
      <c r="AI588" s="2"/>
      <c r="AJ588" s="2"/>
      <c r="AK588" s="2"/>
      <c r="AL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3"/>
      <c r="Y589" s="2"/>
      <c r="Z589" s="2"/>
      <c r="AA589" s="2"/>
      <c r="AB589" s="2"/>
      <c r="AC589" s="2"/>
      <c r="AD589" s="2"/>
      <c r="AE589" s="2"/>
      <c r="AF589" s="2"/>
      <c r="AG589" s="2"/>
      <c r="AH589" s="2"/>
      <c r="AI589" s="2"/>
      <c r="AJ589" s="2"/>
      <c r="AK589" s="2"/>
      <c r="AL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3"/>
      <c r="Y590" s="2"/>
      <c r="Z590" s="2"/>
      <c r="AA590" s="2"/>
      <c r="AB590" s="2"/>
      <c r="AC590" s="2"/>
      <c r="AD590" s="2"/>
      <c r="AE590" s="2"/>
      <c r="AF590" s="2"/>
      <c r="AG590" s="2"/>
      <c r="AH590" s="2"/>
      <c r="AI590" s="2"/>
      <c r="AJ590" s="2"/>
      <c r="AK590" s="2"/>
      <c r="AL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3"/>
      <c r="Y591" s="2"/>
      <c r="Z591" s="2"/>
      <c r="AA591" s="2"/>
      <c r="AB591" s="2"/>
      <c r="AC591" s="2"/>
      <c r="AD591" s="2"/>
      <c r="AE591" s="2"/>
      <c r="AF591" s="2"/>
      <c r="AG591" s="2"/>
      <c r="AH591" s="2"/>
      <c r="AI591" s="2"/>
      <c r="AJ591" s="2"/>
      <c r="AK591" s="2"/>
      <c r="AL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3"/>
      <c r="Y592" s="2"/>
      <c r="Z592" s="2"/>
      <c r="AA592" s="2"/>
      <c r="AB592" s="2"/>
      <c r="AC592" s="2"/>
      <c r="AD592" s="2"/>
      <c r="AE592" s="2"/>
      <c r="AF592" s="2"/>
      <c r="AG592" s="2"/>
      <c r="AH592" s="2"/>
      <c r="AI592" s="2"/>
      <c r="AJ592" s="2"/>
      <c r="AK592" s="2"/>
      <c r="AL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3"/>
      <c r="Y593" s="2"/>
      <c r="Z593" s="2"/>
      <c r="AA593" s="2"/>
      <c r="AB593" s="2"/>
      <c r="AC593" s="2"/>
      <c r="AD593" s="2"/>
      <c r="AE593" s="2"/>
      <c r="AF593" s="2"/>
      <c r="AG593" s="2"/>
      <c r="AH593" s="2"/>
      <c r="AI593" s="2"/>
      <c r="AJ593" s="2"/>
      <c r="AK593" s="2"/>
      <c r="AL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3"/>
      <c r="Y594" s="2"/>
      <c r="Z594" s="2"/>
      <c r="AA594" s="2"/>
      <c r="AB594" s="2"/>
      <c r="AC594" s="2"/>
      <c r="AD594" s="2"/>
      <c r="AE594" s="2"/>
      <c r="AF594" s="2"/>
      <c r="AG594" s="2"/>
      <c r="AH594" s="2"/>
      <c r="AI594" s="2"/>
      <c r="AJ594" s="2"/>
      <c r="AK594" s="2"/>
      <c r="AL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3"/>
      <c r="Y595" s="2"/>
      <c r="Z595" s="2"/>
      <c r="AA595" s="2"/>
      <c r="AB595" s="2"/>
      <c r="AC595" s="2"/>
      <c r="AD595" s="2"/>
      <c r="AE595" s="2"/>
      <c r="AF595" s="2"/>
      <c r="AG595" s="2"/>
      <c r="AH595" s="2"/>
      <c r="AI595" s="2"/>
      <c r="AJ595" s="2"/>
      <c r="AK595" s="2"/>
      <c r="AL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3"/>
      <c r="Y596" s="2"/>
      <c r="Z596" s="2"/>
      <c r="AA596" s="2"/>
      <c r="AB596" s="2"/>
      <c r="AC596" s="2"/>
      <c r="AD596" s="2"/>
      <c r="AE596" s="2"/>
      <c r="AF596" s="2"/>
      <c r="AG596" s="2"/>
      <c r="AH596" s="2"/>
      <c r="AI596" s="2"/>
      <c r="AJ596" s="2"/>
      <c r="AK596" s="2"/>
      <c r="AL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3"/>
      <c r="Y597" s="2"/>
      <c r="Z597" s="2"/>
      <c r="AA597" s="2"/>
      <c r="AB597" s="2"/>
      <c r="AC597" s="2"/>
      <c r="AD597" s="2"/>
      <c r="AE597" s="2"/>
      <c r="AF597" s="2"/>
      <c r="AG597" s="2"/>
      <c r="AH597" s="2"/>
      <c r="AI597" s="2"/>
      <c r="AJ597" s="2"/>
      <c r="AK597" s="2"/>
      <c r="AL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3"/>
      <c r="Y598" s="2"/>
      <c r="Z598" s="2"/>
      <c r="AA598" s="2"/>
      <c r="AB598" s="2"/>
      <c r="AC598" s="2"/>
      <c r="AD598" s="2"/>
      <c r="AE598" s="2"/>
      <c r="AF598" s="2"/>
      <c r="AG598" s="2"/>
      <c r="AH598" s="2"/>
      <c r="AI598" s="2"/>
      <c r="AJ598" s="2"/>
      <c r="AK598" s="2"/>
      <c r="AL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3"/>
      <c r="Y599" s="2"/>
      <c r="Z599" s="2"/>
      <c r="AA599" s="2"/>
      <c r="AB599" s="2"/>
      <c r="AC599" s="2"/>
      <c r="AD599" s="2"/>
      <c r="AE599" s="2"/>
      <c r="AF599" s="2"/>
      <c r="AG599" s="2"/>
      <c r="AH599" s="2"/>
      <c r="AI599" s="2"/>
      <c r="AJ599" s="2"/>
      <c r="AK599" s="2"/>
      <c r="AL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3"/>
      <c r="Y600" s="2"/>
      <c r="Z600" s="2"/>
      <c r="AA600" s="2"/>
      <c r="AB600" s="2"/>
      <c r="AC600" s="2"/>
      <c r="AD600" s="2"/>
      <c r="AE600" s="2"/>
      <c r="AF600" s="2"/>
      <c r="AG600" s="2"/>
      <c r="AH600" s="2"/>
      <c r="AI600" s="2"/>
      <c r="AJ600" s="2"/>
      <c r="AK600" s="2"/>
      <c r="AL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3"/>
      <c r="Y601" s="2"/>
      <c r="Z601" s="2"/>
      <c r="AA601" s="2"/>
      <c r="AB601" s="2"/>
      <c r="AC601" s="2"/>
      <c r="AD601" s="2"/>
      <c r="AE601" s="2"/>
      <c r="AF601" s="2"/>
      <c r="AG601" s="2"/>
      <c r="AH601" s="2"/>
      <c r="AI601" s="2"/>
      <c r="AJ601" s="2"/>
      <c r="AK601" s="2"/>
      <c r="AL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3"/>
      <c r="Y602" s="2"/>
      <c r="Z602" s="2"/>
      <c r="AA602" s="2"/>
      <c r="AB602" s="2"/>
      <c r="AC602" s="2"/>
      <c r="AD602" s="2"/>
      <c r="AE602" s="2"/>
      <c r="AF602" s="2"/>
      <c r="AG602" s="2"/>
      <c r="AH602" s="2"/>
      <c r="AI602" s="2"/>
      <c r="AJ602" s="2"/>
      <c r="AK602" s="2"/>
      <c r="AL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3"/>
      <c r="Y603" s="2"/>
      <c r="Z603" s="2"/>
      <c r="AA603" s="2"/>
      <c r="AB603" s="2"/>
      <c r="AC603" s="2"/>
      <c r="AD603" s="2"/>
      <c r="AE603" s="2"/>
      <c r="AF603" s="2"/>
      <c r="AG603" s="2"/>
      <c r="AH603" s="2"/>
      <c r="AI603" s="2"/>
      <c r="AJ603" s="2"/>
      <c r="AK603" s="2"/>
      <c r="AL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3"/>
      <c r="Y604" s="2"/>
      <c r="Z604" s="2"/>
      <c r="AA604" s="2"/>
      <c r="AB604" s="2"/>
      <c r="AC604" s="2"/>
      <c r="AD604" s="2"/>
      <c r="AE604" s="2"/>
      <c r="AF604" s="2"/>
      <c r="AG604" s="2"/>
      <c r="AH604" s="2"/>
      <c r="AI604" s="2"/>
      <c r="AJ604" s="2"/>
      <c r="AK604" s="2"/>
      <c r="AL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3"/>
      <c r="Y605" s="2"/>
      <c r="Z605" s="2"/>
      <c r="AA605" s="2"/>
      <c r="AB605" s="2"/>
      <c r="AC605" s="2"/>
      <c r="AD605" s="2"/>
      <c r="AE605" s="2"/>
      <c r="AF605" s="2"/>
      <c r="AG605" s="2"/>
      <c r="AH605" s="2"/>
      <c r="AI605" s="2"/>
      <c r="AJ605" s="2"/>
      <c r="AK605" s="2"/>
      <c r="AL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3"/>
      <c r="Y606" s="2"/>
      <c r="Z606" s="2"/>
      <c r="AA606" s="2"/>
      <c r="AB606" s="2"/>
      <c r="AC606" s="2"/>
      <c r="AD606" s="2"/>
      <c r="AE606" s="2"/>
      <c r="AF606" s="2"/>
      <c r="AG606" s="2"/>
      <c r="AH606" s="2"/>
      <c r="AI606" s="2"/>
      <c r="AJ606" s="2"/>
      <c r="AK606" s="2"/>
      <c r="AL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3"/>
      <c r="Y607" s="2"/>
      <c r="Z607" s="2"/>
      <c r="AA607" s="2"/>
      <c r="AB607" s="2"/>
      <c r="AC607" s="2"/>
      <c r="AD607" s="2"/>
      <c r="AE607" s="2"/>
      <c r="AF607" s="2"/>
      <c r="AG607" s="2"/>
      <c r="AH607" s="2"/>
      <c r="AI607" s="2"/>
      <c r="AJ607" s="2"/>
      <c r="AK607" s="2"/>
      <c r="AL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3"/>
      <c r="Y608" s="2"/>
      <c r="Z608" s="2"/>
      <c r="AA608" s="2"/>
      <c r="AB608" s="2"/>
      <c r="AC608" s="2"/>
      <c r="AD608" s="2"/>
      <c r="AE608" s="2"/>
      <c r="AF608" s="2"/>
      <c r="AG608" s="2"/>
      <c r="AH608" s="2"/>
      <c r="AI608" s="2"/>
      <c r="AJ608" s="2"/>
      <c r="AK608" s="2"/>
      <c r="AL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3"/>
      <c r="Y609" s="2"/>
      <c r="Z609" s="2"/>
      <c r="AA609" s="2"/>
      <c r="AB609" s="2"/>
      <c r="AC609" s="2"/>
      <c r="AD609" s="2"/>
      <c r="AE609" s="2"/>
      <c r="AF609" s="2"/>
      <c r="AG609" s="2"/>
      <c r="AH609" s="2"/>
      <c r="AI609" s="2"/>
      <c r="AJ609" s="2"/>
      <c r="AK609" s="2"/>
      <c r="AL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3"/>
      <c r="Y610" s="2"/>
      <c r="Z610" s="2"/>
      <c r="AA610" s="2"/>
      <c r="AB610" s="2"/>
      <c r="AC610" s="2"/>
      <c r="AD610" s="2"/>
      <c r="AE610" s="2"/>
      <c r="AF610" s="2"/>
      <c r="AG610" s="2"/>
      <c r="AH610" s="2"/>
      <c r="AI610" s="2"/>
      <c r="AJ610" s="2"/>
      <c r="AK610" s="2"/>
      <c r="AL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3"/>
      <c r="Y611" s="2"/>
      <c r="Z611" s="2"/>
      <c r="AA611" s="2"/>
      <c r="AB611" s="2"/>
      <c r="AC611" s="2"/>
      <c r="AD611" s="2"/>
      <c r="AE611" s="2"/>
      <c r="AF611" s="2"/>
      <c r="AG611" s="2"/>
      <c r="AH611" s="2"/>
      <c r="AI611" s="2"/>
      <c r="AJ611" s="2"/>
      <c r="AK611" s="2"/>
      <c r="AL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3"/>
      <c r="Y612" s="2"/>
      <c r="Z612" s="2"/>
      <c r="AA612" s="2"/>
      <c r="AB612" s="2"/>
      <c r="AC612" s="2"/>
      <c r="AD612" s="2"/>
      <c r="AE612" s="2"/>
      <c r="AF612" s="2"/>
      <c r="AG612" s="2"/>
      <c r="AH612" s="2"/>
      <c r="AI612" s="2"/>
      <c r="AJ612" s="2"/>
      <c r="AK612" s="2"/>
      <c r="AL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3"/>
      <c r="Y613" s="2"/>
      <c r="Z613" s="2"/>
      <c r="AA613" s="2"/>
      <c r="AB613" s="2"/>
      <c r="AC613" s="2"/>
      <c r="AD613" s="2"/>
      <c r="AE613" s="2"/>
      <c r="AF613" s="2"/>
      <c r="AG613" s="2"/>
      <c r="AH613" s="2"/>
      <c r="AI613" s="2"/>
      <c r="AJ613" s="2"/>
      <c r="AK613" s="2"/>
      <c r="AL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3"/>
      <c r="Y614" s="2"/>
      <c r="Z614" s="2"/>
      <c r="AA614" s="2"/>
      <c r="AB614" s="2"/>
      <c r="AC614" s="2"/>
      <c r="AD614" s="2"/>
      <c r="AE614" s="2"/>
      <c r="AF614" s="2"/>
      <c r="AG614" s="2"/>
      <c r="AH614" s="2"/>
      <c r="AI614" s="2"/>
      <c r="AJ614" s="2"/>
      <c r="AK614" s="2"/>
      <c r="AL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3"/>
      <c r="Y615" s="2"/>
      <c r="Z615" s="2"/>
      <c r="AA615" s="2"/>
      <c r="AB615" s="2"/>
      <c r="AC615" s="2"/>
      <c r="AD615" s="2"/>
      <c r="AE615" s="2"/>
      <c r="AF615" s="2"/>
      <c r="AG615" s="2"/>
      <c r="AH615" s="2"/>
      <c r="AI615" s="2"/>
      <c r="AJ615" s="2"/>
      <c r="AK615" s="2"/>
      <c r="AL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3"/>
      <c r="Y616" s="2"/>
      <c r="Z616" s="2"/>
      <c r="AA616" s="2"/>
      <c r="AB616" s="2"/>
      <c r="AC616" s="2"/>
      <c r="AD616" s="2"/>
      <c r="AE616" s="2"/>
      <c r="AF616" s="2"/>
      <c r="AG616" s="2"/>
      <c r="AH616" s="2"/>
      <c r="AI616" s="2"/>
      <c r="AJ616" s="2"/>
      <c r="AK616" s="2"/>
      <c r="AL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3"/>
      <c r="Y617" s="2"/>
      <c r="Z617" s="2"/>
      <c r="AA617" s="2"/>
      <c r="AB617" s="2"/>
      <c r="AC617" s="2"/>
      <c r="AD617" s="2"/>
      <c r="AE617" s="2"/>
      <c r="AF617" s="2"/>
      <c r="AG617" s="2"/>
      <c r="AH617" s="2"/>
      <c r="AI617" s="2"/>
      <c r="AJ617" s="2"/>
      <c r="AK617" s="2"/>
      <c r="AL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3"/>
      <c r="Y618" s="2"/>
      <c r="Z618" s="2"/>
      <c r="AA618" s="2"/>
      <c r="AB618" s="2"/>
      <c r="AC618" s="2"/>
      <c r="AD618" s="2"/>
      <c r="AE618" s="2"/>
      <c r="AF618" s="2"/>
      <c r="AG618" s="2"/>
      <c r="AH618" s="2"/>
      <c r="AI618" s="2"/>
      <c r="AJ618" s="2"/>
      <c r="AK618" s="2"/>
      <c r="AL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3"/>
      <c r="Y619" s="2"/>
      <c r="Z619" s="2"/>
      <c r="AA619" s="2"/>
      <c r="AB619" s="2"/>
      <c r="AC619" s="2"/>
      <c r="AD619" s="2"/>
      <c r="AE619" s="2"/>
      <c r="AF619" s="2"/>
      <c r="AG619" s="2"/>
      <c r="AH619" s="2"/>
      <c r="AI619" s="2"/>
      <c r="AJ619" s="2"/>
      <c r="AK619" s="2"/>
      <c r="AL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3"/>
      <c r="Y620" s="2"/>
      <c r="Z620" s="2"/>
      <c r="AA620" s="2"/>
      <c r="AB620" s="2"/>
      <c r="AC620" s="2"/>
      <c r="AD620" s="2"/>
      <c r="AE620" s="2"/>
      <c r="AF620" s="2"/>
      <c r="AG620" s="2"/>
      <c r="AH620" s="2"/>
      <c r="AI620" s="2"/>
      <c r="AJ620" s="2"/>
      <c r="AK620" s="2"/>
      <c r="AL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3"/>
      <c r="Y621" s="2"/>
      <c r="Z621" s="2"/>
      <c r="AA621" s="2"/>
      <c r="AB621" s="2"/>
      <c r="AC621" s="2"/>
      <c r="AD621" s="2"/>
      <c r="AE621" s="2"/>
      <c r="AF621" s="2"/>
      <c r="AG621" s="2"/>
      <c r="AH621" s="2"/>
      <c r="AI621" s="2"/>
      <c r="AJ621" s="2"/>
      <c r="AK621" s="2"/>
      <c r="AL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3"/>
      <c r="Y622" s="2"/>
      <c r="Z622" s="2"/>
      <c r="AA622" s="2"/>
      <c r="AB622" s="2"/>
      <c r="AC622" s="2"/>
      <c r="AD622" s="2"/>
      <c r="AE622" s="2"/>
      <c r="AF622" s="2"/>
      <c r="AG622" s="2"/>
      <c r="AH622" s="2"/>
      <c r="AI622" s="2"/>
      <c r="AJ622" s="2"/>
      <c r="AK622" s="2"/>
      <c r="AL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3"/>
      <c r="Y623" s="2"/>
      <c r="Z623" s="2"/>
      <c r="AA623" s="2"/>
      <c r="AB623" s="2"/>
      <c r="AC623" s="2"/>
      <c r="AD623" s="2"/>
      <c r="AE623" s="2"/>
      <c r="AF623" s="2"/>
      <c r="AG623" s="2"/>
      <c r="AH623" s="2"/>
      <c r="AI623" s="2"/>
      <c r="AJ623" s="2"/>
      <c r="AK623" s="2"/>
      <c r="AL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3"/>
      <c r="Y624" s="2"/>
      <c r="Z624" s="2"/>
      <c r="AA624" s="2"/>
      <c r="AB624" s="2"/>
      <c r="AC624" s="2"/>
      <c r="AD624" s="2"/>
      <c r="AE624" s="2"/>
      <c r="AF624" s="2"/>
      <c r="AG624" s="2"/>
      <c r="AH624" s="2"/>
      <c r="AI624" s="2"/>
      <c r="AJ624" s="2"/>
      <c r="AK624" s="2"/>
      <c r="AL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3"/>
      <c r="Y625" s="2"/>
      <c r="Z625" s="2"/>
      <c r="AA625" s="2"/>
      <c r="AB625" s="2"/>
      <c r="AC625" s="2"/>
      <c r="AD625" s="2"/>
      <c r="AE625" s="2"/>
      <c r="AF625" s="2"/>
      <c r="AG625" s="2"/>
      <c r="AH625" s="2"/>
      <c r="AI625" s="2"/>
      <c r="AJ625" s="2"/>
      <c r="AK625" s="2"/>
      <c r="AL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3"/>
      <c r="Y626" s="2"/>
      <c r="Z626" s="2"/>
      <c r="AA626" s="2"/>
      <c r="AB626" s="2"/>
      <c r="AC626" s="2"/>
      <c r="AD626" s="2"/>
      <c r="AE626" s="2"/>
      <c r="AF626" s="2"/>
      <c r="AG626" s="2"/>
      <c r="AH626" s="2"/>
      <c r="AI626" s="2"/>
      <c r="AJ626" s="2"/>
      <c r="AK626" s="2"/>
      <c r="AL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3"/>
      <c r="Y627" s="2"/>
      <c r="Z627" s="2"/>
      <c r="AA627" s="2"/>
      <c r="AB627" s="2"/>
      <c r="AC627" s="2"/>
      <c r="AD627" s="2"/>
      <c r="AE627" s="2"/>
      <c r="AF627" s="2"/>
      <c r="AG627" s="2"/>
      <c r="AH627" s="2"/>
      <c r="AI627" s="2"/>
      <c r="AJ627" s="2"/>
      <c r="AK627" s="2"/>
      <c r="AL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3"/>
      <c r="Y628" s="2"/>
      <c r="Z628" s="2"/>
      <c r="AA628" s="2"/>
      <c r="AB628" s="2"/>
      <c r="AC628" s="2"/>
      <c r="AD628" s="2"/>
      <c r="AE628" s="2"/>
      <c r="AF628" s="2"/>
      <c r="AG628" s="2"/>
      <c r="AH628" s="2"/>
      <c r="AI628" s="2"/>
      <c r="AJ628" s="2"/>
      <c r="AK628" s="2"/>
      <c r="AL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3"/>
      <c r="Y629" s="2"/>
      <c r="Z629" s="2"/>
      <c r="AA629" s="2"/>
      <c r="AB629" s="2"/>
      <c r="AC629" s="2"/>
      <c r="AD629" s="2"/>
      <c r="AE629" s="2"/>
      <c r="AF629" s="2"/>
      <c r="AG629" s="2"/>
      <c r="AH629" s="2"/>
      <c r="AI629" s="2"/>
      <c r="AJ629" s="2"/>
      <c r="AK629" s="2"/>
      <c r="AL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3"/>
      <c r="Y630" s="2"/>
      <c r="Z630" s="2"/>
      <c r="AA630" s="2"/>
      <c r="AB630" s="2"/>
      <c r="AC630" s="2"/>
      <c r="AD630" s="2"/>
      <c r="AE630" s="2"/>
      <c r="AF630" s="2"/>
      <c r="AG630" s="2"/>
      <c r="AH630" s="2"/>
      <c r="AI630" s="2"/>
      <c r="AJ630" s="2"/>
      <c r="AK630" s="2"/>
      <c r="AL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3"/>
      <c r="Y631" s="2"/>
      <c r="Z631" s="2"/>
      <c r="AA631" s="2"/>
      <c r="AB631" s="2"/>
      <c r="AC631" s="2"/>
      <c r="AD631" s="2"/>
      <c r="AE631" s="2"/>
      <c r="AF631" s="2"/>
      <c r="AG631" s="2"/>
      <c r="AH631" s="2"/>
      <c r="AI631" s="2"/>
      <c r="AJ631" s="2"/>
      <c r="AK631" s="2"/>
      <c r="AL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3"/>
      <c r="Y632" s="2"/>
      <c r="Z632" s="2"/>
      <c r="AA632" s="2"/>
      <c r="AB632" s="2"/>
      <c r="AC632" s="2"/>
      <c r="AD632" s="2"/>
      <c r="AE632" s="2"/>
      <c r="AF632" s="2"/>
      <c r="AG632" s="2"/>
      <c r="AH632" s="2"/>
      <c r="AI632" s="2"/>
      <c r="AJ632" s="2"/>
      <c r="AK632" s="2"/>
      <c r="AL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3"/>
      <c r="Y633" s="2"/>
      <c r="Z633" s="2"/>
      <c r="AA633" s="2"/>
      <c r="AB633" s="2"/>
      <c r="AC633" s="2"/>
      <c r="AD633" s="2"/>
      <c r="AE633" s="2"/>
      <c r="AF633" s="2"/>
      <c r="AG633" s="2"/>
      <c r="AH633" s="2"/>
      <c r="AI633" s="2"/>
      <c r="AJ633" s="2"/>
      <c r="AK633" s="2"/>
      <c r="AL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3"/>
      <c r="Y634" s="2"/>
      <c r="Z634" s="2"/>
      <c r="AA634" s="2"/>
      <c r="AB634" s="2"/>
      <c r="AC634" s="2"/>
      <c r="AD634" s="2"/>
      <c r="AE634" s="2"/>
      <c r="AF634" s="2"/>
      <c r="AG634" s="2"/>
      <c r="AH634" s="2"/>
      <c r="AI634" s="2"/>
      <c r="AJ634" s="2"/>
      <c r="AK634" s="2"/>
      <c r="AL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3"/>
      <c r="Y635" s="2"/>
      <c r="Z635" s="2"/>
      <c r="AA635" s="2"/>
      <c r="AB635" s="2"/>
      <c r="AC635" s="2"/>
      <c r="AD635" s="2"/>
      <c r="AE635" s="2"/>
      <c r="AF635" s="2"/>
      <c r="AG635" s="2"/>
      <c r="AH635" s="2"/>
      <c r="AI635" s="2"/>
      <c r="AJ635" s="2"/>
      <c r="AK635" s="2"/>
      <c r="AL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3"/>
      <c r="Y636" s="2"/>
      <c r="Z636" s="2"/>
      <c r="AA636" s="2"/>
      <c r="AB636" s="2"/>
      <c r="AC636" s="2"/>
      <c r="AD636" s="2"/>
      <c r="AE636" s="2"/>
      <c r="AF636" s="2"/>
      <c r="AG636" s="2"/>
      <c r="AH636" s="2"/>
      <c r="AI636" s="2"/>
      <c r="AJ636" s="2"/>
      <c r="AK636" s="2"/>
      <c r="AL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3"/>
      <c r="Y637" s="2"/>
      <c r="Z637" s="2"/>
      <c r="AA637" s="2"/>
      <c r="AB637" s="2"/>
      <c r="AC637" s="2"/>
      <c r="AD637" s="2"/>
      <c r="AE637" s="2"/>
      <c r="AF637" s="2"/>
      <c r="AG637" s="2"/>
      <c r="AH637" s="2"/>
      <c r="AI637" s="2"/>
      <c r="AJ637" s="2"/>
      <c r="AK637" s="2"/>
      <c r="AL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3"/>
      <c r="Y638" s="2"/>
      <c r="Z638" s="2"/>
      <c r="AA638" s="2"/>
      <c r="AB638" s="2"/>
      <c r="AC638" s="2"/>
      <c r="AD638" s="2"/>
      <c r="AE638" s="2"/>
      <c r="AF638" s="2"/>
      <c r="AG638" s="2"/>
      <c r="AH638" s="2"/>
      <c r="AI638" s="2"/>
      <c r="AJ638" s="2"/>
      <c r="AK638" s="2"/>
      <c r="AL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3"/>
      <c r="Y639" s="2"/>
      <c r="Z639" s="2"/>
      <c r="AA639" s="2"/>
      <c r="AB639" s="2"/>
      <c r="AC639" s="2"/>
      <c r="AD639" s="2"/>
      <c r="AE639" s="2"/>
      <c r="AF639" s="2"/>
      <c r="AG639" s="2"/>
      <c r="AH639" s="2"/>
      <c r="AI639" s="2"/>
      <c r="AJ639" s="2"/>
      <c r="AK639" s="2"/>
      <c r="AL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3"/>
      <c r="Y640" s="2"/>
      <c r="Z640" s="2"/>
      <c r="AA640" s="2"/>
      <c r="AB640" s="2"/>
      <c r="AC640" s="2"/>
      <c r="AD640" s="2"/>
      <c r="AE640" s="2"/>
      <c r="AF640" s="2"/>
      <c r="AG640" s="2"/>
      <c r="AH640" s="2"/>
      <c r="AI640" s="2"/>
      <c r="AJ640" s="2"/>
      <c r="AK640" s="2"/>
      <c r="AL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3"/>
      <c r="Y641" s="2"/>
      <c r="Z641" s="2"/>
      <c r="AA641" s="2"/>
      <c r="AB641" s="2"/>
      <c r="AC641" s="2"/>
      <c r="AD641" s="2"/>
      <c r="AE641" s="2"/>
      <c r="AF641" s="2"/>
      <c r="AG641" s="2"/>
      <c r="AH641" s="2"/>
      <c r="AI641" s="2"/>
      <c r="AJ641" s="2"/>
      <c r="AK641" s="2"/>
      <c r="AL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3"/>
      <c r="Y642" s="2"/>
      <c r="Z642" s="2"/>
      <c r="AA642" s="2"/>
      <c r="AB642" s="2"/>
      <c r="AC642" s="2"/>
      <c r="AD642" s="2"/>
      <c r="AE642" s="2"/>
      <c r="AF642" s="2"/>
      <c r="AG642" s="2"/>
      <c r="AH642" s="2"/>
      <c r="AI642" s="2"/>
      <c r="AJ642" s="2"/>
      <c r="AK642" s="2"/>
      <c r="AL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3"/>
      <c r="Y643" s="2"/>
      <c r="Z643" s="2"/>
      <c r="AA643" s="2"/>
      <c r="AB643" s="2"/>
      <c r="AC643" s="2"/>
      <c r="AD643" s="2"/>
      <c r="AE643" s="2"/>
      <c r="AF643" s="2"/>
      <c r="AG643" s="2"/>
      <c r="AH643" s="2"/>
      <c r="AI643" s="2"/>
      <c r="AJ643" s="2"/>
      <c r="AK643" s="2"/>
      <c r="AL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3"/>
      <c r="Y644" s="2"/>
      <c r="Z644" s="2"/>
      <c r="AA644" s="2"/>
      <c r="AB644" s="2"/>
      <c r="AC644" s="2"/>
      <c r="AD644" s="2"/>
      <c r="AE644" s="2"/>
      <c r="AF644" s="2"/>
      <c r="AG644" s="2"/>
      <c r="AH644" s="2"/>
      <c r="AI644" s="2"/>
      <c r="AJ644" s="2"/>
      <c r="AK644" s="2"/>
      <c r="AL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3"/>
      <c r="Y645" s="2"/>
      <c r="Z645" s="2"/>
      <c r="AA645" s="2"/>
      <c r="AB645" s="2"/>
      <c r="AC645" s="2"/>
      <c r="AD645" s="2"/>
      <c r="AE645" s="2"/>
      <c r="AF645" s="2"/>
      <c r="AG645" s="2"/>
      <c r="AH645" s="2"/>
      <c r="AI645" s="2"/>
      <c r="AJ645" s="2"/>
      <c r="AK645" s="2"/>
      <c r="AL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3"/>
      <c r="Y646" s="2"/>
      <c r="Z646" s="2"/>
      <c r="AA646" s="2"/>
      <c r="AB646" s="2"/>
      <c r="AC646" s="2"/>
      <c r="AD646" s="2"/>
      <c r="AE646" s="2"/>
      <c r="AF646" s="2"/>
      <c r="AG646" s="2"/>
      <c r="AH646" s="2"/>
      <c r="AI646" s="2"/>
      <c r="AJ646" s="2"/>
      <c r="AK646" s="2"/>
      <c r="AL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3"/>
      <c r="Y647" s="2"/>
      <c r="Z647" s="2"/>
      <c r="AA647" s="2"/>
      <c r="AB647" s="2"/>
      <c r="AC647" s="2"/>
      <c r="AD647" s="2"/>
      <c r="AE647" s="2"/>
      <c r="AF647" s="2"/>
      <c r="AG647" s="2"/>
      <c r="AH647" s="2"/>
      <c r="AI647" s="2"/>
      <c r="AJ647" s="2"/>
      <c r="AK647" s="2"/>
      <c r="AL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3"/>
      <c r="Y648" s="2"/>
      <c r="Z648" s="2"/>
      <c r="AA648" s="2"/>
      <c r="AB648" s="2"/>
      <c r="AC648" s="2"/>
      <c r="AD648" s="2"/>
      <c r="AE648" s="2"/>
      <c r="AF648" s="2"/>
      <c r="AG648" s="2"/>
      <c r="AH648" s="2"/>
      <c r="AI648" s="2"/>
      <c r="AJ648" s="2"/>
      <c r="AK648" s="2"/>
      <c r="AL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3"/>
      <c r="Y649" s="2"/>
      <c r="Z649" s="2"/>
      <c r="AA649" s="2"/>
      <c r="AB649" s="2"/>
      <c r="AC649" s="2"/>
      <c r="AD649" s="2"/>
      <c r="AE649" s="2"/>
      <c r="AF649" s="2"/>
      <c r="AG649" s="2"/>
      <c r="AH649" s="2"/>
      <c r="AI649" s="2"/>
      <c r="AJ649" s="2"/>
      <c r="AK649" s="2"/>
      <c r="AL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3"/>
      <c r="Y650" s="2"/>
      <c r="Z650" s="2"/>
      <c r="AA650" s="2"/>
      <c r="AB650" s="2"/>
      <c r="AC650" s="2"/>
      <c r="AD650" s="2"/>
      <c r="AE650" s="2"/>
      <c r="AF650" s="2"/>
      <c r="AG650" s="2"/>
      <c r="AH650" s="2"/>
      <c r="AI650" s="2"/>
      <c r="AJ650" s="2"/>
      <c r="AK650" s="2"/>
      <c r="AL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3"/>
      <c r="Y651" s="2"/>
      <c r="Z651" s="2"/>
      <c r="AA651" s="2"/>
      <c r="AB651" s="2"/>
      <c r="AC651" s="2"/>
      <c r="AD651" s="2"/>
      <c r="AE651" s="2"/>
      <c r="AF651" s="2"/>
      <c r="AG651" s="2"/>
      <c r="AH651" s="2"/>
      <c r="AI651" s="2"/>
      <c r="AJ651" s="2"/>
      <c r="AK651" s="2"/>
      <c r="AL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3"/>
      <c r="Y652" s="2"/>
      <c r="Z652" s="2"/>
      <c r="AA652" s="2"/>
      <c r="AB652" s="2"/>
      <c r="AC652" s="2"/>
      <c r="AD652" s="2"/>
      <c r="AE652" s="2"/>
      <c r="AF652" s="2"/>
      <c r="AG652" s="2"/>
      <c r="AH652" s="2"/>
      <c r="AI652" s="2"/>
      <c r="AJ652" s="2"/>
      <c r="AK652" s="2"/>
      <c r="AL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3"/>
      <c r="Y653" s="2"/>
      <c r="Z653" s="2"/>
      <c r="AA653" s="2"/>
      <c r="AB653" s="2"/>
      <c r="AC653" s="2"/>
      <c r="AD653" s="2"/>
      <c r="AE653" s="2"/>
      <c r="AF653" s="2"/>
      <c r="AG653" s="2"/>
      <c r="AH653" s="2"/>
      <c r="AI653" s="2"/>
      <c r="AJ653" s="2"/>
      <c r="AK653" s="2"/>
      <c r="AL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3"/>
      <c r="Y654" s="2"/>
      <c r="Z654" s="2"/>
      <c r="AA654" s="2"/>
      <c r="AB654" s="2"/>
      <c r="AC654" s="2"/>
      <c r="AD654" s="2"/>
      <c r="AE654" s="2"/>
      <c r="AF654" s="2"/>
      <c r="AG654" s="2"/>
      <c r="AH654" s="2"/>
      <c r="AI654" s="2"/>
      <c r="AJ654" s="2"/>
      <c r="AK654" s="2"/>
      <c r="AL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3"/>
      <c r="Y655" s="2"/>
      <c r="Z655" s="2"/>
      <c r="AA655" s="2"/>
      <c r="AB655" s="2"/>
      <c r="AC655" s="2"/>
      <c r="AD655" s="2"/>
      <c r="AE655" s="2"/>
      <c r="AF655" s="2"/>
      <c r="AG655" s="2"/>
      <c r="AH655" s="2"/>
      <c r="AI655" s="2"/>
      <c r="AJ655" s="2"/>
      <c r="AK655" s="2"/>
      <c r="AL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3"/>
      <c r="Y656" s="2"/>
      <c r="Z656" s="2"/>
      <c r="AA656" s="2"/>
      <c r="AB656" s="2"/>
      <c r="AC656" s="2"/>
      <c r="AD656" s="2"/>
      <c r="AE656" s="2"/>
      <c r="AF656" s="2"/>
      <c r="AG656" s="2"/>
      <c r="AH656" s="2"/>
      <c r="AI656" s="2"/>
      <c r="AJ656" s="2"/>
      <c r="AK656" s="2"/>
      <c r="AL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3"/>
      <c r="Y657" s="2"/>
      <c r="Z657" s="2"/>
      <c r="AA657" s="2"/>
      <c r="AB657" s="2"/>
      <c r="AC657" s="2"/>
      <c r="AD657" s="2"/>
      <c r="AE657" s="2"/>
      <c r="AF657" s="2"/>
      <c r="AG657" s="2"/>
      <c r="AH657" s="2"/>
      <c r="AI657" s="2"/>
      <c r="AJ657" s="2"/>
      <c r="AK657" s="2"/>
      <c r="AL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3"/>
      <c r="Y658" s="2"/>
      <c r="Z658" s="2"/>
      <c r="AA658" s="2"/>
      <c r="AB658" s="2"/>
      <c r="AC658" s="2"/>
      <c r="AD658" s="2"/>
      <c r="AE658" s="2"/>
      <c r="AF658" s="2"/>
      <c r="AG658" s="2"/>
      <c r="AH658" s="2"/>
      <c r="AI658" s="2"/>
      <c r="AJ658" s="2"/>
      <c r="AK658" s="2"/>
      <c r="AL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3"/>
      <c r="Y659" s="2"/>
      <c r="Z659" s="2"/>
      <c r="AA659" s="2"/>
      <c r="AB659" s="2"/>
      <c r="AC659" s="2"/>
      <c r="AD659" s="2"/>
      <c r="AE659" s="2"/>
      <c r="AF659" s="2"/>
      <c r="AG659" s="2"/>
      <c r="AH659" s="2"/>
      <c r="AI659" s="2"/>
      <c r="AJ659" s="2"/>
      <c r="AK659" s="2"/>
      <c r="AL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3"/>
      <c r="Y660" s="2"/>
      <c r="Z660" s="2"/>
      <c r="AA660" s="2"/>
      <c r="AB660" s="2"/>
      <c r="AC660" s="2"/>
      <c r="AD660" s="2"/>
      <c r="AE660" s="2"/>
      <c r="AF660" s="2"/>
      <c r="AG660" s="2"/>
      <c r="AH660" s="2"/>
      <c r="AI660" s="2"/>
      <c r="AJ660" s="2"/>
      <c r="AK660" s="2"/>
      <c r="AL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3"/>
      <c r="Y661" s="2"/>
      <c r="Z661" s="2"/>
      <c r="AA661" s="2"/>
      <c r="AB661" s="2"/>
      <c r="AC661" s="2"/>
      <c r="AD661" s="2"/>
      <c r="AE661" s="2"/>
      <c r="AF661" s="2"/>
      <c r="AG661" s="2"/>
      <c r="AH661" s="2"/>
      <c r="AI661" s="2"/>
      <c r="AJ661" s="2"/>
      <c r="AK661" s="2"/>
      <c r="AL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3"/>
      <c r="Y662" s="2"/>
      <c r="Z662" s="2"/>
      <c r="AA662" s="2"/>
      <c r="AB662" s="2"/>
      <c r="AC662" s="2"/>
      <c r="AD662" s="2"/>
      <c r="AE662" s="2"/>
      <c r="AF662" s="2"/>
      <c r="AG662" s="2"/>
      <c r="AH662" s="2"/>
      <c r="AI662" s="2"/>
      <c r="AJ662" s="2"/>
      <c r="AK662" s="2"/>
      <c r="AL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3"/>
      <c r="Y663" s="2"/>
      <c r="Z663" s="2"/>
      <c r="AA663" s="2"/>
      <c r="AB663" s="2"/>
      <c r="AC663" s="2"/>
      <c r="AD663" s="2"/>
      <c r="AE663" s="2"/>
      <c r="AF663" s="2"/>
      <c r="AG663" s="2"/>
      <c r="AH663" s="2"/>
      <c r="AI663" s="2"/>
      <c r="AJ663" s="2"/>
      <c r="AK663" s="2"/>
      <c r="AL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3"/>
      <c r="Y664" s="2"/>
      <c r="Z664" s="2"/>
      <c r="AA664" s="2"/>
      <c r="AB664" s="2"/>
      <c r="AC664" s="2"/>
      <c r="AD664" s="2"/>
      <c r="AE664" s="2"/>
      <c r="AF664" s="2"/>
      <c r="AG664" s="2"/>
      <c r="AH664" s="2"/>
      <c r="AI664" s="2"/>
      <c r="AJ664" s="2"/>
      <c r="AK664" s="2"/>
      <c r="AL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3"/>
      <c r="Y665" s="2"/>
      <c r="Z665" s="2"/>
      <c r="AA665" s="2"/>
      <c r="AB665" s="2"/>
      <c r="AC665" s="2"/>
      <c r="AD665" s="2"/>
      <c r="AE665" s="2"/>
      <c r="AF665" s="2"/>
      <c r="AG665" s="2"/>
      <c r="AH665" s="2"/>
      <c r="AI665" s="2"/>
      <c r="AJ665" s="2"/>
      <c r="AK665" s="2"/>
      <c r="AL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3"/>
      <c r="Y666" s="2"/>
      <c r="Z666" s="2"/>
      <c r="AA666" s="2"/>
      <c r="AB666" s="2"/>
      <c r="AC666" s="2"/>
      <c r="AD666" s="2"/>
      <c r="AE666" s="2"/>
      <c r="AF666" s="2"/>
      <c r="AG666" s="2"/>
      <c r="AH666" s="2"/>
      <c r="AI666" s="2"/>
      <c r="AJ666" s="2"/>
      <c r="AK666" s="2"/>
      <c r="AL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3"/>
      <c r="Y667" s="2"/>
      <c r="Z667" s="2"/>
      <c r="AA667" s="2"/>
      <c r="AB667" s="2"/>
      <c r="AC667" s="2"/>
      <c r="AD667" s="2"/>
      <c r="AE667" s="2"/>
      <c r="AF667" s="2"/>
      <c r="AG667" s="2"/>
      <c r="AH667" s="2"/>
      <c r="AI667" s="2"/>
      <c r="AJ667" s="2"/>
      <c r="AK667" s="2"/>
      <c r="AL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3"/>
      <c r="Y668" s="2"/>
      <c r="Z668" s="2"/>
      <c r="AA668" s="2"/>
      <c r="AB668" s="2"/>
      <c r="AC668" s="2"/>
      <c r="AD668" s="2"/>
      <c r="AE668" s="2"/>
      <c r="AF668" s="2"/>
      <c r="AG668" s="2"/>
      <c r="AH668" s="2"/>
      <c r="AI668" s="2"/>
      <c r="AJ668" s="2"/>
      <c r="AK668" s="2"/>
      <c r="AL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3"/>
      <c r="Y669" s="2"/>
      <c r="Z669" s="2"/>
      <c r="AA669" s="2"/>
      <c r="AB669" s="2"/>
      <c r="AC669" s="2"/>
      <c r="AD669" s="2"/>
      <c r="AE669" s="2"/>
      <c r="AF669" s="2"/>
      <c r="AG669" s="2"/>
      <c r="AH669" s="2"/>
      <c r="AI669" s="2"/>
      <c r="AJ669" s="2"/>
      <c r="AK669" s="2"/>
      <c r="AL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3"/>
      <c r="Y670" s="2"/>
      <c r="Z670" s="2"/>
      <c r="AA670" s="2"/>
      <c r="AB670" s="2"/>
      <c r="AC670" s="2"/>
      <c r="AD670" s="2"/>
      <c r="AE670" s="2"/>
      <c r="AF670" s="2"/>
      <c r="AG670" s="2"/>
      <c r="AH670" s="2"/>
      <c r="AI670" s="2"/>
      <c r="AJ670" s="2"/>
      <c r="AK670" s="2"/>
      <c r="AL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3"/>
      <c r="Y671" s="2"/>
      <c r="Z671" s="2"/>
      <c r="AA671" s="2"/>
      <c r="AB671" s="2"/>
      <c r="AC671" s="2"/>
      <c r="AD671" s="2"/>
      <c r="AE671" s="2"/>
      <c r="AF671" s="2"/>
      <c r="AG671" s="2"/>
      <c r="AH671" s="2"/>
      <c r="AI671" s="2"/>
      <c r="AJ671" s="2"/>
      <c r="AK671" s="2"/>
      <c r="AL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3"/>
      <c r="Y672" s="2"/>
      <c r="Z672" s="2"/>
      <c r="AA672" s="2"/>
      <c r="AB672" s="2"/>
      <c r="AC672" s="2"/>
      <c r="AD672" s="2"/>
      <c r="AE672" s="2"/>
      <c r="AF672" s="2"/>
      <c r="AG672" s="2"/>
      <c r="AH672" s="2"/>
      <c r="AI672" s="2"/>
      <c r="AJ672" s="2"/>
      <c r="AK672" s="2"/>
      <c r="AL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3"/>
      <c r="Y673" s="2"/>
      <c r="Z673" s="2"/>
      <c r="AA673" s="2"/>
      <c r="AB673" s="2"/>
      <c r="AC673" s="2"/>
      <c r="AD673" s="2"/>
      <c r="AE673" s="2"/>
      <c r="AF673" s="2"/>
      <c r="AG673" s="2"/>
      <c r="AH673" s="2"/>
      <c r="AI673" s="2"/>
      <c r="AJ673" s="2"/>
      <c r="AK673" s="2"/>
      <c r="AL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3"/>
      <c r="Y674" s="2"/>
      <c r="Z674" s="2"/>
      <c r="AA674" s="2"/>
      <c r="AB674" s="2"/>
      <c r="AC674" s="2"/>
      <c r="AD674" s="2"/>
      <c r="AE674" s="2"/>
      <c r="AF674" s="2"/>
      <c r="AG674" s="2"/>
      <c r="AH674" s="2"/>
      <c r="AI674" s="2"/>
      <c r="AJ674" s="2"/>
      <c r="AK674" s="2"/>
      <c r="AL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3"/>
      <c r="Y675" s="2"/>
      <c r="Z675" s="2"/>
      <c r="AA675" s="2"/>
      <c r="AB675" s="2"/>
      <c r="AC675" s="2"/>
      <c r="AD675" s="2"/>
      <c r="AE675" s="2"/>
      <c r="AF675" s="2"/>
      <c r="AG675" s="2"/>
      <c r="AH675" s="2"/>
      <c r="AI675" s="2"/>
      <c r="AJ675" s="2"/>
      <c r="AK675" s="2"/>
      <c r="AL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3"/>
      <c r="Y676" s="2"/>
      <c r="Z676" s="2"/>
      <c r="AA676" s="2"/>
      <c r="AB676" s="2"/>
      <c r="AC676" s="2"/>
      <c r="AD676" s="2"/>
      <c r="AE676" s="2"/>
      <c r="AF676" s="2"/>
      <c r="AG676" s="2"/>
      <c r="AH676" s="2"/>
      <c r="AI676" s="2"/>
      <c r="AJ676" s="2"/>
      <c r="AK676" s="2"/>
      <c r="AL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3"/>
      <c r="Y677" s="2"/>
      <c r="Z677" s="2"/>
      <c r="AA677" s="2"/>
      <c r="AB677" s="2"/>
      <c r="AC677" s="2"/>
      <c r="AD677" s="2"/>
      <c r="AE677" s="2"/>
      <c r="AF677" s="2"/>
      <c r="AG677" s="2"/>
      <c r="AH677" s="2"/>
      <c r="AI677" s="2"/>
      <c r="AJ677" s="2"/>
      <c r="AK677" s="2"/>
      <c r="AL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3"/>
      <c r="Y678" s="2"/>
      <c r="Z678" s="2"/>
      <c r="AA678" s="2"/>
      <c r="AB678" s="2"/>
      <c r="AC678" s="2"/>
      <c r="AD678" s="2"/>
      <c r="AE678" s="2"/>
      <c r="AF678" s="2"/>
      <c r="AG678" s="2"/>
      <c r="AH678" s="2"/>
      <c r="AI678" s="2"/>
      <c r="AJ678" s="2"/>
      <c r="AK678" s="2"/>
      <c r="AL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3"/>
      <c r="Y679" s="2"/>
      <c r="Z679" s="2"/>
      <c r="AA679" s="2"/>
      <c r="AB679" s="2"/>
      <c r="AC679" s="2"/>
      <c r="AD679" s="2"/>
      <c r="AE679" s="2"/>
      <c r="AF679" s="2"/>
      <c r="AG679" s="2"/>
      <c r="AH679" s="2"/>
      <c r="AI679" s="2"/>
      <c r="AJ679" s="2"/>
      <c r="AK679" s="2"/>
      <c r="AL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3"/>
      <c r="Y680" s="2"/>
      <c r="Z680" s="2"/>
      <c r="AA680" s="2"/>
      <c r="AB680" s="2"/>
      <c r="AC680" s="2"/>
      <c r="AD680" s="2"/>
      <c r="AE680" s="2"/>
      <c r="AF680" s="2"/>
      <c r="AG680" s="2"/>
      <c r="AH680" s="2"/>
      <c r="AI680" s="2"/>
      <c r="AJ680" s="2"/>
      <c r="AK680" s="2"/>
      <c r="AL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3"/>
      <c r="Y681" s="2"/>
      <c r="Z681" s="2"/>
      <c r="AA681" s="2"/>
      <c r="AB681" s="2"/>
      <c r="AC681" s="2"/>
      <c r="AD681" s="2"/>
      <c r="AE681" s="2"/>
      <c r="AF681" s="2"/>
      <c r="AG681" s="2"/>
      <c r="AH681" s="2"/>
      <c r="AI681" s="2"/>
      <c r="AJ681" s="2"/>
      <c r="AK681" s="2"/>
      <c r="AL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3"/>
      <c r="Y682" s="2"/>
      <c r="Z682" s="2"/>
      <c r="AA682" s="2"/>
      <c r="AB682" s="2"/>
      <c r="AC682" s="2"/>
      <c r="AD682" s="2"/>
      <c r="AE682" s="2"/>
      <c r="AF682" s="2"/>
      <c r="AG682" s="2"/>
      <c r="AH682" s="2"/>
      <c r="AI682" s="2"/>
      <c r="AJ682" s="2"/>
      <c r="AK682" s="2"/>
      <c r="AL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3"/>
      <c r="Y683" s="2"/>
      <c r="Z683" s="2"/>
      <c r="AA683" s="2"/>
      <c r="AB683" s="2"/>
      <c r="AC683" s="2"/>
      <c r="AD683" s="2"/>
      <c r="AE683" s="2"/>
      <c r="AF683" s="2"/>
      <c r="AG683" s="2"/>
      <c r="AH683" s="2"/>
      <c r="AI683" s="2"/>
      <c r="AJ683" s="2"/>
      <c r="AK683" s="2"/>
      <c r="AL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3"/>
      <c r="Y684" s="2"/>
      <c r="Z684" s="2"/>
      <c r="AA684" s="2"/>
      <c r="AB684" s="2"/>
      <c r="AC684" s="2"/>
      <c r="AD684" s="2"/>
      <c r="AE684" s="2"/>
      <c r="AF684" s="2"/>
      <c r="AG684" s="2"/>
      <c r="AH684" s="2"/>
      <c r="AI684" s="2"/>
      <c r="AJ684" s="2"/>
      <c r="AK684" s="2"/>
      <c r="AL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3"/>
      <c r="Y685" s="2"/>
      <c r="Z685" s="2"/>
      <c r="AA685" s="2"/>
      <c r="AB685" s="2"/>
      <c r="AC685" s="2"/>
      <c r="AD685" s="2"/>
      <c r="AE685" s="2"/>
      <c r="AF685" s="2"/>
      <c r="AG685" s="2"/>
      <c r="AH685" s="2"/>
      <c r="AI685" s="2"/>
      <c r="AJ685" s="2"/>
      <c r="AK685" s="2"/>
      <c r="AL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3"/>
      <c r="Y686" s="2"/>
      <c r="Z686" s="2"/>
      <c r="AA686" s="2"/>
      <c r="AB686" s="2"/>
      <c r="AC686" s="2"/>
      <c r="AD686" s="2"/>
      <c r="AE686" s="2"/>
      <c r="AF686" s="2"/>
      <c r="AG686" s="2"/>
      <c r="AH686" s="2"/>
      <c r="AI686" s="2"/>
      <c r="AJ686" s="2"/>
      <c r="AK686" s="2"/>
      <c r="AL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3"/>
      <c r="Y687" s="2"/>
      <c r="Z687" s="2"/>
      <c r="AA687" s="2"/>
      <c r="AB687" s="2"/>
      <c r="AC687" s="2"/>
      <c r="AD687" s="2"/>
      <c r="AE687" s="2"/>
      <c r="AF687" s="2"/>
      <c r="AG687" s="2"/>
      <c r="AH687" s="2"/>
      <c r="AI687" s="2"/>
      <c r="AJ687" s="2"/>
      <c r="AK687" s="2"/>
      <c r="AL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3"/>
      <c r="Y688" s="2"/>
      <c r="Z688" s="2"/>
      <c r="AA688" s="2"/>
      <c r="AB688" s="2"/>
      <c r="AC688" s="2"/>
      <c r="AD688" s="2"/>
      <c r="AE688" s="2"/>
      <c r="AF688" s="2"/>
      <c r="AG688" s="2"/>
      <c r="AH688" s="2"/>
      <c r="AI688" s="2"/>
      <c r="AJ688" s="2"/>
      <c r="AK688" s="2"/>
      <c r="AL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3"/>
      <c r="Y689" s="2"/>
      <c r="Z689" s="2"/>
      <c r="AA689" s="2"/>
      <c r="AB689" s="2"/>
      <c r="AC689" s="2"/>
      <c r="AD689" s="2"/>
      <c r="AE689" s="2"/>
      <c r="AF689" s="2"/>
      <c r="AG689" s="2"/>
      <c r="AH689" s="2"/>
      <c r="AI689" s="2"/>
      <c r="AJ689" s="2"/>
      <c r="AK689" s="2"/>
      <c r="AL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3"/>
      <c r="Y690" s="2"/>
      <c r="Z690" s="2"/>
      <c r="AA690" s="2"/>
      <c r="AB690" s="2"/>
      <c r="AC690" s="2"/>
      <c r="AD690" s="2"/>
      <c r="AE690" s="2"/>
      <c r="AF690" s="2"/>
      <c r="AG690" s="2"/>
      <c r="AH690" s="2"/>
      <c r="AI690" s="2"/>
      <c r="AJ690" s="2"/>
      <c r="AK690" s="2"/>
      <c r="AL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3"/>
      <c r="Y691" s="2"/>
      <c r="Z691" s="2"/>
      <c r="AA691" s="2"/>
      <c r="AB691" s="2"/>
      <c r="AC691" s="2"/>
      <c r="AD691" s="2"/>
      <c r="AE691" s="2"/>
      <c r="AF691" s="2"/>
      <c r="AG691" s="2"/>
      <c r="AH691" s="2"/>
      <c r="AI691" s="2"/>
      <c r="AJ691" s="2"/>
      <c r="AK691" s="2"/>
      <c r="AL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3"/>
      <c r="Y692" s="2"/>
      <c r="Z692" s="2"/>
      <c r="AA692" s="2"/>
      <c r="AB692" s="2"/>
      <c r="AC692" s="2"/>
      <c r="AD692" s="2"/>
      <c r="AE692" s="2"/>
      <c r="AF692" s="2"/>
      <c r="AG692" s="2"/>
      <c r="AH692" s="2"/>
      <c r="AI692" s="2"/>
      <c r="AJ692" s="2"/>
      <c r="AK692" s="2"/>
      <c r="AL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3"/>
      <c r="Y693" s="2"/>
      <c r="Z693" s="2"/>
      <c r="AA693" s="2"/>
      <c r="AB693" s="2"/>
      <c r="AC693" s="2"/>
      <c r="AD693" s="2"/>
      <c r="AE693" s="2"/>
      <c r="AF693" s="2"/>
      <c r="AG693" s="2"/>
      <c r="AH693" s="2"/>
      <c r="AI693" s="2"/>
      <c r="AJ693" s="2"/>
      <c r="AK693" s="2"/>
      <c r="AL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3"/>
      <c r="Y694" s="2"/>
      <c r="Z694" s="2"/>
      <c r="AA694" s="2"/>
      <c r="AB694" s="2"/>
      <c r="AC694" s="2"/>
      <c r="AD694" s="2"/>
      <c r="AE694" s="2"/>
      <c r="AF694" s="2"/>
      <c r="AG694" s="2"/>
      <c r="AH694" s="2"/>
      <c r="AI694" s="2"/>
      <c r="AJ694" s="2"/>
      <c r="AK694" s="2"/>
      <c r="AL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3"/>
      <c r="Y695" s="2"/>
      <c r="Z695" s="2"/>
      <c r="AA695" s="2"/>
      <c r="AB695" s="2"/>
      <c r="AC695" s="2"/>
      <c r="AD695" s="2"/>
      <c r="AE695" s="2"/>
      <c r="AF695" s="2"/>
      <c r="AG695" s="2"/>
      <c r="AH695" s="2"/>
      <c r="AI695" s="2"/>
      <c r="AJ695" s="2"/>
      <c r="AK695" s="2"/>
      <c r="AL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3"/>
      <c r="Y696" s="2"/>
      <c r="Z696" s="2"/>
      <c r="AA696" s="2"/>
      <c r="AB696" s="2"/>
      <c r="AC696" s="2"/>
      <c r="AD696" s="2"/>
      <c r="AE696" s="2"/>
      <c r="AF696" s="2"/>
      <c r="AG696" s="2"/>
      <c r="AH696" s="2"/>
      <c r="AI696" s="2"/>
      <c r="AJ696" s="2"/>
      <c r="AK696" s="2"/>
      <c r="AL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3"/>
      <c r="Y697" s="2"/>
      <c r="Z697" s="2"/>
      <c r="AA697" s="2"/>
      <c r="AB697" s="2"/>
      <c r="AC697" s="2"/>
      <c r="AD697" s="2"/>
      <c r="AE697" s="2"/>
      <c r="AF697" s="2"/>
      <c r="AG697" s="2"/>
      <c r="AH697" s="2"/>
      <c r="AI697" s="2"/>
      <c r="AJ697" s="2"/>
      <c r="AK697" s="2"/>
      <c r="AL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3"/>
      <c r="Y698" s="2"/>
      <c r="Z698" s="2"/>
      <c r="AA698" s="2"/>
      <c r="AB698" s="2"/>
      <c r="AC698" s="2"/>
      <c r="AD698" s="2"/>
      <c r="AE698" s="2"/>
      <c r="AF698" s="2"/>
      <c r="AG698" s="2"/>
      <c r="AH698" s="2"/>
      <c r="AI698" s="2"/>
      <c r="AJ698" s="2"/>
      <c r="AK698" s="2"/>
      <c r="AL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3"/>
      <c r="Y699" s="2"/>
      <c r="Z699" s="2"/>
      <c r="AA699" s="2"/>
      <c r="AB699" s="2"/>
      <c r="AC699" s="2"/>
      <c r="AD699" s="2"/>
      <c r="AE699" s="2"/>
      <c r="AF699" s="2"/>
      <c r="AG699" s="2"/>
      <c r="AH699" s="2"/>
      <c r="AI699" s="2"/>
      <c r="AJ699" s="2"/>
      <c r="AK699" s="2"/>
      <c r="AL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3"/>
      <c r="Y700" s="2"/>
      <c r="Z700" s="2"/>
      <c r="AA700" s="2"/>
      <c r="AB700" s="2"/>
      <c r="AC700" s="2"/>
      <c r="AD700" s="2"/>
      <c r="AE700" s="2"/>
      <c r="AF700" s="2"/>
      <c r="AG700" s="2"/>
      <c r="AH700" s="2"/>
      <c r="AI700" s="2"/>
      <c r="AJ700" s="2"/>
      <c r="AK700" s="2"/>
      <c r="AL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3"/>
      <c r="Y701" s="2"/>
      <c r="Z701" s="2"/>
      <c r="AA701" s="2"/>
      <c r="AB701" s="2"/>
      <c r="AC701" s="2"/>
      <c r="AD701" s="2"/>
      <c r="AE701" s="2"/>
      <c r="AF701" s="2"/>
      <c r="AG701" s="2"/>
      <c r="AH701" s="2"/>
      <c r="AI701" s="2"/>
      <c r="AJ701" s="2"/>
      <c r="AK701" s="2"/>
      <c r="AL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3"/>
      <c r="Y702" s="2"/>
      <c r="Z702" s="2"/>
      <c r="AA702" s="2"/>
      <c r="AB702" s="2"/>
      <c r="AC702" s="2"/>
      <c r="AD702" s="2"/>
      <c r="AE702" s="2"/>
      <c r="AF702" s="2"/>
      <c r="AG702" s="2"/>
      <c r="AH702" s="2"/>
      <c r="AI702" s="2"/>
      <c r="AJ702" s="2"/>
      <c r="AK702" s="2"/>
      <c r="AL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3"/>
      <c r="Y703" s="2"/>
      <c r="Z703" s="2"/>
      <c r="AA703" s="2"/>
      <c r="AB703" s="2"/>
      <c r="AC703" s="2"/>
      <c r="AD703" s="2"/>
      <c r="AE703" s="2"/>
      <c r="AF703" s="2"/>
      <c r="AG703" s="2"/>
      <c r="AH703" s="2"/>
      <c r="AI703" s="2"/>
      <c r="AJ703" s="2"/>
      <c r="AK703" s="2"/>
      <c r="AL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3"/>
      <c r="Y704" s="2"/>
      <c r="Z704" s="2"/>
      <c r="AA704" s="2"/>
      <c r="AB704" s="2"/>
      <c r="AC704" s="2"/>
      <c r="AD704" s="2"/>
      <c r="AE704" s="2"/>
      <c r="AF704" s="2"/>
      <c r="AG704" s="2"/>
      <c r="AH704" s="2"/>
      <c r="AI704" s="2"/>
      <c r="AJ704" s="2"/>
      <c r="AK704" s="2"/>
      <c r="AL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3"/>
      <c r="Y705" s="2"/>
      <c r="Z705" s="2"/>
      <c r="AA705" s="2"/>
      <c r="AB705" s="2"/>
      <c r="AC705" s="2"/>
      <c r="AD705" s="2"/>
      <c r="AE705" s="2"/>
      <c r="AF705" s="2"/>
      <c r="AG705" s="2"/>
      <c r="AH705" s="2"/>
      <c r="AI705" s="2"/>
      <c r="AJ705" s="2"/>
      <c r="AK705" s="2"/>
      <c r="AL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3"/>
      <c r="Y706" s="2"/>
      <c r="Z706" s="2"/>
      <c r="AA706" s="2"/>
      <c r="AB706" s="2"/>
      <c r="AC706" s="2"/>
      <c r="AD706" s="2"/>
      <c r="AE706" s="2"/>
      <c r="AF706" s="2"/>
      <c r="AG706" s="2"/>
      <c r="AH706" s="2"/>
      <c r="AI706" s="2"/>
      <c r="AJ706" s="2"/>
      <c r="AK706" s="2"/>
      <c r="AL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3"/>
      <c r="Y707" s="2"/>
      <c r="Z707" s="2"/>
      <c r="AA707" s="2"/>
      <c r="AB707" s="2"/>
      <c r="AC707" s="2"/>
      <c r="AD707" s="2"/>
      <c r="AE707" s="2"/>
      <c r="AF707" s="2"/>
      <c r="AG707" s="2"/>
      <c r="AH707" s="2"/>
      <c r="AI707" s="2"/>
      <c r="AJ707" s="2"/>
      <c r="AK707" s="2"/>
      <c r="AL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3"/>
      <c r="Y708" s="2"/>
      <c r="Z708" s="2"/>
      <c r="AA708" s="2"/>
      <c r="AB708" s="2"/>
      <c r="AC708" s="2"/>
      <c r="AD708" s="2"/>
      <c r="AE708" s="2"/>
      <c r="AF708" s="2"/>
      <c r="AG708" s="2"/>
      <c r="AH708" s="2"/>
      <c r="AI708" s="2"/>
      <c r="AJ708" s="2"/>
      <c r="AK708" s="2"/>
      <c r="AL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3"/>
      <c r="Y709" s="2"/>
      <c r="Z709" s="2"/>
      <c r="AA709" s="2"/>
      <c r="AB709" s="2"/>
      <c r="AC709" s="2"/>
      <c r="AD709" s="2"/>
      <c r="AE709" s="2"/>
      <c r="AF709" s="2"/>
      <c r="AG709" s="2"/>
      <c r="AH709" s="2"/>
      <c r="AI709" s="2"/>
      <c r="AJ709" s="2"/>
      <c r="AK709" s="2"/>
      <c r="AL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3"/>
      <c r="Y710" s="2"/>
      <c r="Z710" s="2"/>
      <c r="AA710" s="2"/>
      <c r="AB710" s="2"/>
      <c r="AC710" s="2"/>
      <c r="AD710" s="2"/>
      <c r="AE710" s="2"/>
      <c r="AF710" s="2"/>
      <c r="AG710" s="2"/>
      <c r="AH710" s="2"/>
      <c r="AI710" s="2"/>
      <c r="AJ710" s="2"/>
      <c r="AK710" s="2"/>
      <c r="AL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3"/>
      <c r="Y711" s="2"/>
      <c r="Z711" s="2"/>
      <c r="AA711" s="2"/>
      <c r="AB711" s="2"/>
      <c r="AC711" s="2"/>
      <c r="AD711" s="2"/>
      <c r="AE711" s="2"/>
      <c r="AF711" s="2"/>
      <c r="AG711" s="2"/>
      <c r="AH711" s="2"/>
      <c r="AI711" s="2"/>
      <c r="AJ711" s="2"/>
      <c r="AK711" s="2"/>
      <c r="AL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3"/>
      <c r="Y712" s="2"/>
      <c r="Z712" s="2"/>
      <c r="AA712" s="2"/>
      <c r="AB712" s="2"/>
      <c r="AC712" s="2"/>
      <c r="AD712" s="2"/>
      <c r="AE712" s="2"/>
      <c r="AF712" s="2"/>
      <c r="AG712" s="2"/>
      <c r="AH712" s="2"/>
      <c r="AI712" s="2"/>
      <c r="AJ712" s="2"/>
      <c r="AK712" s="2"/>
      <c r="AL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3"/>
      <c r="Y713" s="2"/>
      <c r="Z713" s="2"/>
      <c r="AA713" s="2"/>
      <c r="AB713" s="2"/>
      <c r="AC713" s="2"/>
      <c r="AD713" s="2"/>
      <c r="AE713" s="2"/>
      <c r="AF713" s="2"/>
      <c r="AG713" s="2"/>
      <c r="AH713" s="2"/>
      <c r="AI713" s="2"/>
      <c r="AJ713" s="2"/>
      <c r="AK713" s="2"/>
      <c r="AL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3"/>
      <c r="Y714" s="2"/>
      <c r="Z714" s="2"/>
      <c r="AA714" s="2"/>
      <c r="AB714" s="2"/>
      <c r="AC714" s="2"/>
      <c r="AD714" s="2"/>
      <c r="AE714" s="2"/>
      <c r="AF714" s="2"/>
      <c r="AG714" s="2"/>
      <c r="AH714" s="2"/>
      <c r="AI714" s="2"/>
      <c r="AJ714" s="2"/>
      <c r="AK714" s="2"/>
      <c r="AL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3"/>
      <c r="Y715" s="2"/>
      <c r="Z715" s="2"/>
      <c r="AA715" s="2"/>
      <c r="AB715" s="2"/>
      <c r="AC715" s="2"/>
      <c r="AD715" s="2"/>
      <c r="AE715" s="2"/>
      <c r="AF715" s="2"/>
      <c r="AG715" s="2"/>
      <c r="AH715" s="2"/>
      <c r="AI715" s="2"/>
      <c r="AJ715" s="2"/>
      <c r="AK715" s="2"/>
      <c r="AL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3"/>
      <c r="Y716" s="2"/>
      <c r="Z716" s="2"/>
      <c r="AA716" s="2"/>
      <c r="AB716" s="2"/>
      <c r="AC716" s="2"/>
      <c r="AD716" s="2"/>
      <c r="AE716" s="2"/>
      <c r="AF716" s="2"/>
      <c r="AG716" s="2"/>
      <c r="AH716" s="2"/>
      <c r="AI716" s="2"/>
      <c r="AJ716" s="2"/>
      <c r="AK716" s="2"/>
      <c r="AL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3"/>
      <c r="Y717" s="2"/>
      <c r="Z717" s="2"/>
      <c r="AA717" s="2"/>
      <c r="AB717" s="2"/>
      <c r="AC717" s="2"/>
      <c r="AD717" s="2"/>
      <c r="AE717" s="2"/>
      <c r="AF717" s="2"/>
      <c r="AG717" s="2"/>
      <c r="AH717" s="2"/>
      <c r="AI717" s="2"/>
      <c r="AJ717" s="2"/>
      <c r="AK717" s="2"/>
      <c r="AL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3"/>
      <c r="Y718" s="2"/>
      <c r="Z718" s="2"/>
      <c r="AA718" s="2"/>
      <c r="AB718" s="2"/>
      <c r="AC718" s="2"/>
      <c r="AD718" s="2"/>
      <c r="AE718" s="2"/>
      <c r="AF718" s="2"/>
      <c r="AG718" s="2"/>
      <c r="AH718" s="2"/>
      <c r="AI718" s="2"/>
      <c r="AJ718" s="2"/>
      <c r="AK718" s="2"/>
      <c r="AL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3"/>
      <c r="Y719" s="2"/>
      <c r="Z719" s="2"/>
      <c r="AA719" s="2"/>
      <c r="AB719" s="2"/>
      <c r="AC719" s="2"/>
      <c r="AD719" s="2"/>
      <c r="AE719" s="2"/>
      <c r="AF719" s="2"/>
      <c r="AG719" s="2"/>
      <c r="AH719" s="2"/>
      <c r="AI719" s="2"/>
      <c r="AJ719" s="2"/>
      <c r="AK719" s="2"/>
      <c r="AL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3"/>
      <c r="Y720" s="2"/>
      <c r="Z720" s="2"/>
      <c r="AA720" s="2"/>
      <c r="AB720" s="2"/>
      <c r="AC720" s="2"/>
      <c r="AD720" s="2"/>
      <c r="AE720" s="2"/>
      <c r="AF720" s="2"/>
      <c r="AG720" s="2"/>
      <c r="AH720" s="2"/>
      <c r="AI720" s="2"/>
      <c r="AJ720" s="2"/>
      <c r="AK720" s="2"/>
      <c r="AL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3"/>
      <c r="Y721" s="2"/>
      <c r="Z721" s="2"/>
      <c r="AA721" s="2"/>
      <c r="AB721" s="2"/>
      <c r="AC721" s="2"/>
      <c r="AD721" s="2"/>
      <c r="AE721" s="2"/>
      <c r="AF721" s="2"/>
      <c r="AG721" s="2"/>
      <c r="AH721" s="2"/>
      <c r="AI721" s="2"/>
      <c r="AJ721" s="2"/>
      <c r="AK721" s="2"/>
      <c r="AL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3"/>
      <c r="Y722" s="2"/>
      <c r="Z722" s="2"/>
      <c r="AA722" s="2"/>
      <c r="AB722" s="2"/>
      <c r="AC722" s="2"/>
      <c r="AD722" s="2"/>
      <c r="AE722" s="2"/>
      <c r="AF722" s="2"/>
      <c r="AG722" s="2"/>
      <c r="AH722" s="2"/>
      <c r="AI722" s="2"/>
      <c r="AJ722" s="2"/>
      <c r="AK722" s="2"/>
      <c r="AL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3"/>
      <c r="Y723" s="2"/>
      <c r="Z723" s="2"/>
      <c r="AA723" s="2"/>
      <c r="AB723" s="2"/>
      <c r="AC723" s="2"/>
      <c r="AD723" s="2"/>
      <c r="AE723" s="2"/>
      <c r="AF723" s="2"/>
      <c r="AG723" s="2"/>
      <c r="AH723" s="2"/>
      <c r="AI723" s="2"/>
      <c r="AJ723" s="2"/>
      <c r="AK723" s="2"/>
      <c r="AL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3"/>
      <c r="Y724" s="2"/>
      <c r="Z724" s="2"/>
      <c r="AA724" s="2"/>
      <c r="AB724" s="2"/>
      <c r="AC724" s="2"/>
      <c r="AD724" s="2"/>
      <c r="AE724" s="2"/>
      <c r="AF724" s="2"/>
      <c r="AG724" s="2"/>
      <c r="AH724" s="2"/>
      <c r="AI724" s="2"/>
      <c r="AJ724" s="2"/>
      <c r="AK724" s="2"/>
      <c r="AL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3"/>
      <c r="Y725" s="2"/>
      <c r="Z725" s="2"/>
      <c r="AA725" s="2"/>
      <c r="AB725" s="2"/>
      <c r="AC725" s="2"/>
      <c r="AD725" s="2"/>
      <c r="AE725" s="2"/>
      <c r="AF725" s="2"/>
      <c r="AG725" s="2"/>
      <c r="AH725" s="2"/>
      <c r="AI725" s="2"/>
      <c r="AJ725" s="2"/>
      <c r="AK725" s="2"/>
      <c r="AL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3"/>
      <c r="Y726" s="2"/>
      <c r="Z726" s="2"/>
      <c r="AA726" s="2"/>
      <c r="AB726" s="2"/>
      <c r="AC726" s="2"/>
      <c r="AD726" s="2"/>
      <c r="AE726" s="2"/>
      <c r="AF726" s="2"/>
      <c r="AG726" s="2"/>
      <c r="AH726" s="2"/>
      <c r="AI726" s="2"/>
      <c r="AJ726" s="2"/>
      <c r="AK726" s="2"/>
      <c r="AL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3"/>
      <c r="Y727" s="2"/>
      <c r="Z727" s="2"/>
      <c r="AA727" s="2"/>
      <c r="AB727" s="2"/>
      <c r="AC727" s="2"/>
      <c r="AD727" s="2"/>
      <c r="AE727" s="2"/>
      <c r="AF727" s="2"/>
      <c r="AG727" s="2"/>
      <c r="AH727" s="2"/>
      <c r="AI727" s="2"/>
      <c r="AJ727" s="2"/>
      <c r="AK727" s="2"/>
      <c r="AL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3"/>
      <c r="Y728" s="2"/>
      <c r="Z728" s="2"/>
      <c r="AA728" s="2"/>
      <c r="AB728" s="2"/>
      <c r="AC728" s="2"/>
      <c r="AD728" s="2"/>
      <c r="AE728" s="2"/>
      <c r="AF728" s="2"/>
      <c r="AG728" s="2"/>
      <c r="AH728" s="2"/>
      <c r="AI728" s="2"/>
      <c r="AJ728" s="2"/>
      <c r="AK728" s="2"/>
      <c r="AL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3"/>
      <c r="Y729" s="2"/>
      <c r="Z729" s="2"/>
      <c r="AA729" s="2"/>
      <c r="AB729" s="2"/>
      <c r="AC729" s="2"/>
      <c r="AD729" s="2"/>
      <c r="AE729" s="2"/>
      <c r="AF729" s="2"/>
      <c r="AG729" s="2"/>
      <c r="AH729" s="2"/>
      <c r="AI729" s="2"/>
      <c r="AJ729" s="2"/>
      <c r="AK729" s="2"/>
      <c r="AL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3"/>
      <c r="Y730" s="2"/>
      <c r="Z730" s="2"/>
      <c r="AA730" s="2"/>
      <c r="AB730" s="2"/>
      <c r="AC730" s="2"/>
      <c r="AD730" s="2"/>
      <c r="AE730" s="2"/>
      <c r="AF730" s="2"/>
      <c r="AG730" s="2"/>
      <c r="AH730" s="2"/>
      <c r="AI730" s="2"/>
      <c r="AJ730" s="2"/>
      <c r="AK730" s="2"/>
      <c r="AL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3"/>
      <c r="Y731" s="2"/>
      <c r="Z731" s="2"/>
      <c r="AA731" s="2"/>
      <c r="AB731" s="2"/>
      <c r="AC731" s="2"/>
      <c r="AD731" s="2"/>
      <c r="AE731" s="2"/>
      <c r="AF731" s="2"/>
      <c r="AG731" s="2"/>
      <c r="AH731" s="2"/>
      <c r="AI731" s="2"/>
      <c r="AJ731" s="2"/>
      <c r="AK731" s="2"/>
      <c r="AL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3"/>
      <c r="Y732" s="2"/>
      <c r="Z732" s="2"/>
      <c r="AA732" s="2"/>
      <c r="AB732" s="2"/>
      <c r="AC732" s="2"/>
      <c r="AD732" s="2"/>
      <c r="AE732" s="2"/>
      <c r="AF732" s="2"/>
      <c r="AG732" s="2"/>
      <c r="AH732" s="2"/>
      <c r="AI732" s="2"/>
      <c r="AJ732" s="2"/>
      <c r="AK732" s="2"/>
      <c r="AL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3"/>
      <c r="Y733" s="2"/>
      <c r="Z733" s="2"/>
      <c r="AA733" s="2"/>
      <c r="AB733" s="2"/>
      <c r="AC733" s="2"/>
      <c r="AD733" s="2"/>
      <c r="AE733" s="2"/>
      <c r="AF733" s="2"/>
      <c r="AG733" s="2"/>
      <c r="AH733" s="2"/>
      <c r="AI733" s="2"/>
      <c r="AJ733" s="2"/>
      <c r="AK733" s="2"/>
      <c r="AL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3"/>
      <c r="Y734" s="2"/>
      <c r="Z734" s="2"/>
      <c r="AA734" s="2"/>
      <c r="AB734" s="2"/>
      <c r="AC734" s="2"/>
      <c r="AD734" s="2"/>
      <c r="AE734" s="2"/>
      <c r="AF734" s="2"/>
      <c r="AG734" s="2"/>
      <c r="AH734" s="2"/>
      <c r="AI734" s="2"/>
      <c r="AJ734" s="2"/>
      <c r="AK734" s="2"/>
      <c r="AL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3"/>
      <c r="Y735" s="2"/>
      <c r="Z735" s="2"/>
      <c r="AA735" s="2"/>
      <c r="AB735" s="2"/>
      <c r="AC735" s="2"/>
      <c r="AD735" s="2"/>
      <c r="AE735" s="2"/>
      <c r="AF735" s="2"/>
      <c r="AG735" s="2"/>
      <c r="AH735" s="2"/>
      <c r="AI735" s="2"/>
      <c r="AJ735" s="2"/>
      <c r="AK735" s="2"/>
      <c r="AL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3"/>
      <c r="Y736" s="2"/>
      <c r="Z736" s="2"/>
      <c r="AA736" s="2"/>
      <c r="AB736" s="2"/>
      <c r="AC736" s="2"/>
      <c r="AD736" s="2"/>
      <c r="AE736" s="2"/>
      <c r="AF736" s="2"/>
      <c r="AG736" s="2"/>
      <c r="AH736" s="2"/>
      <c r="AI736" s="2"/>
      <c r="AJ736" s="2"/>
      <c r="AK736" s="2"/>
      <c r="AL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3"/>
      <c r="Y737" s="2"/>
      <c r="Z737" s="2"/>
      <c r="AA737" s="2"/>
      <c r="AB737" s="2"/>
      <c r="AC737" s="2"/>
      <c r="AD737" s="2"/>
      <c r="AE737" s="2"/>
      <c r="AF737" s="2"/>
      <c r="AG737" s="2"/>
      <c r="AH737" s="2"/>
      <c r="AI737" s="2"/>
      <c r="AJ737" s="2"/>
      <c r="AK737" s="2"/>
      <c r="AL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3"/>
      <c r="Y738" s="2"/>
      <c r="Z738" s="2"/>
      <c r="AA738" s="2"/>
      <c r="AB738" s="2"/>
      <c r="AC738" s="2"/>
      <c r="AD738" s="2"/>
      <c r="AE738" s="2"/>
      <c r="AF738" s="2"/>
      <c r="AG738" s="2"/>
      <c r="AH738" s="2"/>
      <c r="AI738" s="2"/>
      <c r="AJ738" s="2"/>
      <c r="AK738" s="2"/>
      <c r="AL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3"/>
      <c r="Y739" s="2"/>
      <c r="Z739" s="2"/>
      <c r="AA739" s="2"/>
      <c r="AB739" s="2"/>
      <c r="AC739" s="2"/>
      <c r="AD739" s="2"/>
      <c r="AE739" s="2"/>
      <c r="AF739" s="2"/>
      <c r="AG739" s="2"/>
      <c r="AH739" s="2"/>
      <c r="AI739" s="2"/>
      <c r="AJ739" s="2"/>
      <c r="AK739" s="2"/>
      <c r="AL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3"/>
      <c r="Y740" s="2"/>
      <c r="Z740" s="2"/>
      <c r="AA740" s="2"/>
      <c r="AB740" s="2"/>
      <c r="AC740" s="2"/>
      <c r="AD740" s="2"/>
      <c r="AE740" s="2"/>
      <c r="AF740" s="2"/>
      <c r="AG740" s="2"/>
      <c r="AH740" s="2"/>
      <c r="AI740" s="2"/>
      <c r="AJ740" s="2"/>
      <c r="AK740" s="2"/>
      <c r="AL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3"/>
      <c r="Y741" s="2"/>
      <c r="Z741" s="2"/>
      <c r="AA741" s="2"/>
      <c r="AB741" s="2"/>
      <c r="AC741" s="2"/>
      <c r="AD741" s="2"/>
      <c r="AE741" s="2"/>
      <c r="AF741" s="2"/>
      <c r="AG741" s="2"/>
      <c r="AH741" s="2"/>
      <c r="AI741" s="2"/>
      <c r="AJ741" s="2"/>
      <c r="AK741" s="2"/>
      <c r="AL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3"/>
      <c r="Y742" s="2"/>
      <c r="Z742" s="2"/>
      <c r="AA742" s="2"/>
      <c r="AB742" s="2"/>
      <c r="AC742" s="2"/>
      <c r="AD742" s="2"/>
      <c r="AE742" s="2"/>
      <c r="AF742" s="2"/>
      <c r="AG742" s="2"/>
      <c r="AH742" s="2"/>
      <c r="AI742" s="2"/>
      <c r="AJ742" s="2"/>
      <c r="AK742" s="2"/>
      <c r="AL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3"/>
      <c r="Y743" s="2"/>
      <c r="Z743" s="2"/>
      <c r="AA743" s="2"/>
      <c r="AB743" s="2"/>
      <c r="AC743" s="2"/>
      <c r="AD743" s="2"/>
      <c r="AE743" s="2"/>
      <c r="AF743" s="2"/>
      <c r="AG743" s="2"/>
      <c r="AH743" s="2"/>
      <c r="AI743" s="2"/>
      <c r="AJ743" s="2"/>
      <c r="AK743" s="2"/>
      <c r="AL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3"/>
      <c r="Y744" s="2"/>
      <c r="Z744" s="2"/>
      <c r="AA744" s="2"/>
      <c r="AB744" s="2"/>
      <c r="AC744" s="2"/>
      <c r="AD744" s="2"/>
      <c r="AE744" s="2"/>
      <c r="AF744" s="2"/>
      <c r="AG744" s="2"/>
      <c r="AH744" s="2"/>
      <c r="AI744" s="2"/>
      <c r="AJ744" s="2"/>
      <c r="AK744" s="2"/>
      <c r="AL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3"/>
      <c r="Y745" s="2"/>
      <c r="Z745" s="2"/>
      <c r="AA745" s="2"/>
      <c r="AB745" s="2"/>
      <c r="AC745" s="2"/>
      <c r="AD745" s="2"/>
      <c r="AE745" s="2"/>
      <c r="AF745" s="2"/>
      <c r="AG745" s="2"/>
      <c r="AH745" s="2"/>
      <c r="AI745" s="2"/>
      <c r="AJ745" s="2"/>
      <c r="AK745" s="2"/>
      <c r="AL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3"/>
      <c r="Y746" s="2"/>
      <c r="Z746" s="2"/>
      <c r="AA746" s="2"/>
      <c r="AB746" s="2"/>
      <c r="AC746" s="2"/>
      <c r="AD746" s="2"/>
      <c r="AE746" s="2"/>
      <c r="AF746" s="2"/>
      <c r="AG746" s="2"/>
      <c r="AH746" s="2"/>
      <c r="AI746" s="2"/>
      <c r="AJ746" s="2"/>
      <c r="AK746" s="2"/>
      <c r="AL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3"/>
      <c r="Y747" s="2"/>
      <c r="Z747" s="2"/>
      <c r="AA747" s="2"/>
      <c r="AB747" s="2"/>
      <c r="AC747" s="2"/>
      <c r="AD747" s="2"/>
      <c r="AE747" s="2"/>
      <c r="AF747" s="2"/>
      <c r="AG747" s="2"/>
      <c r="AH747" s="2"/>
      <c r="AI747" s="2"/>
      <c r="AJ747" s="2"/>
      <c r="AK747" s="2"/>
      <c r="AL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3"/>
      <c r="Y748" s="2"/>
      <c r="Z748" s="2"/>
      <c r="AA748" s="2"/>
      <c r="AB748" s="2"/>
      <c r="AC748" s="2"/>
      <c r="AD748" s="2"/>
      <c r="AE748" s="2"/>
      <c r="AF748" s="2"/>
      <c r="AG748" s="2"/>
      <c r="AH748" s="2"/>
      <c r="AI748" s="2"/>
      <c r="AJ748" s="2"/>
      <c r="AK748" s="2"/>
      <c r="AL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3"/>
      <c r="Y749" s="2"/>
      <c r="Z749" s="2"/>
      <c r="AA749" s="2"/>
      <c r="AB749" s="2"/>
      <c r="AC749" s="2"/>
      <c r="AD749" s="2"/>
      <c r="AE749" s="2"/>
      <c r="AF749" s="2"/>
      <c r="AG749" s="2"/>
      <c r="AH749" s="2"/>
      <c r="AI749" s="2"/>
      <c r="AJ749" s="2"/>
      <c r="AK749" s="2"/>
      <c r="AL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3"/>
      <c r="Y750" s="2"/>
      <c r="Z750" s="2"/>
      <c r="AA750" s="2"/>
      <c r="AB750" s="2"/>
      <c r="AC750" s="2"/>
      <c r="AD750" s="2"/>
      <c r="AE750" s="2"/>
      <c r="AF750" s="2"/>
      <c r="AG750" s="2"/>
      <c r="AH750" s="2"/>
      <c r="AI750" s="2"/>
      <c r="AJ750" s="2"/>
      <c r="AK750" s="2"/>
      <c r="AL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3"/>
      <c r="Y751" s="2"/>
      <c r="Z751" s="2"/>
      <c r="AA751" s="2"/>
      <c r="AB751" s="2"/>
      <c r="AC751" s="2"/>
      <c r="AD751" s="2"/>
      <c r="AE751" s="2"/>
      <c r="AF751" s="2"/>
      <c r="AG751" s="2"/>
      <c r="AH751" s="2"/>
      <c r="AI751" s="2"/>
      <c r="AJ751" s="2"/>
      <c r="AK751" s="2"/>
      <c r="AL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3"/>
      <c r="Y752" s="2"/>
      <c r="Z752" s="2"/>
      <c r="AA752" s="2"/>
      <c r="AB752" s="2"/>
      <c r="AC752" s="2"/>
      <c r="AD752" s="2"/>
      <c r="AE752" s="2"/>
      <c r="AF752" s="2"/>
      <c r="AG752" s="2"/>
      <c r="AH752" s="2"/>
      <c r="AI752" s="2"/>
      <c r="AJ752" s="2"/>
      <c r="AK752" s="2"/>
      <c r="AL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3"/>
      <c r="Y753" s="2"/>
      <c r="Z753" s="2"/>
      <c r="AA753" s="2"/>
      <c r="AB753" s="2"/>
      <c r="AC753" s="2"/>
      <c r="AD753" s="2"/>
      <c r="AE753" s="2"/>
      <c r="AF753" s="2"/>
      <c r="AG753" s="2"/>
      <c r="AH753" s="2"/>
      <c r="AI753" s="2"/>
      <c r="AJ753" s="2"/>
      <c r="AK753" s="2"/>
      <c r="AL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3"/>
      <c r="Y754" s="2"/>
      <c r="Z754" s="2"/>
      <c r="AA754" s="2"/>
      <c r="AB754" s="2"/>
      <c r="AC754" s="2"/>
      <c r="AD754" s="2"/>
      <c r="AE754" s="2"/>
      <c r="AF754" s="2"/>
      <c r="AG754" s="2"/>
      <c r="AH754" s="2"/>
      <c r="AI754" s="2"/>
      <c r="AJ754" s="2"/>
      <c r="AK754" s="2"/>
      <c r="AL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3"/>
      <c r="Y755" s="2"/>
      <c r="Z755" s="2"/>
      <c r="AA755" s="2"/>
      <c r="AB755" s="2"/>
      <c r="AC755" s="2"/>
      <c r="AD755" s="2"/>
      <c r="AE755" s="2"/>
      <c r="AF755" s="2"/>
      <c r="AG755" s="2"/>
      <c r="AH755" s="2"/>
      <c r="AI755" s="2"/>
      <c r="AJ755" s="2"/>
      <c r="AK755" s="2"/>
      <c r="AL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3"/>
      <c r="Y756" s="2"/>
      <c r="Z756" s="2"/>
      <c r="AA756" s="2"/>
      <c r="AB756" s="2"/>
      <c r="AC756" s="2"/>
      <c r="AD756" s="2"/>
      <c r="AE756" s="2"/>
      <c r="AF756" s="2"/>
      <c r="AG756" s="2"/>
      <c r="AH756" s="2"/>
      <c r="AI756" s="2"/>
      <c r="AJ756" s="2"/>
      <c r="AK756" s="2"/>
      <c r="AL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3"/>
      <c r="Y757" s="2"/>
      <c r="Z757" s="2"/>
      <c r="AA757" s="2"/>
      <c r="AB757" s="2"/>
      <c r="AC757" s="2"/>
      <c r="AD757" s="2"/>
      <c r="AE757" s="2"/>
      <c r="AF757" s="2"/>
      <c r="AG757" s="2"/>
      <c r="AH757" s="2"/>
      <c r="AI757" s="2"/>
      <c r="AJ757" s="2"/>
      <c r="AK757" s="2"/>
      <c r="AL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3"/>
      <c r="Y758" s="2"/>
      <c r="Z758" s="2"/>
      <c r="AA758" s="2"/>
      <c r="AB758" s="2"/>
      <c r="AC758" s="2"/>
      <c r="AD758" s="2"/>
      <c r="AE758" s="2"/>
      <c r="AF758" s="2"/>
      <c r="AG758" s="2"/>
      <c r="AH758" s="2"/>
      <c r="AI758" s="2"/>
      <c r="AJ758" s="2"/>
      <c r="AK758" s="2"/>
      <c r="AL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3"/>
      <c r="Y759" s="2"/>
      <c r="Z759" s="2"/>
      <c r="AA759" s="2"/>
      <c r="AB759" s="2"/>
      <c r="AC759" s="2"/>
      <c r="AD759" s="2"/>
      <c r="AE759" s="2"/>
      <c r="AF759" s="2"/>
      <c r="AG759" s="2"/>
      <c r="AH759" s="2"/>
      <c r="AI759" s="2"/>
      <c r="AJ759" s="2"/>
      <c r="AK759" s="2"/>
      <c r="AL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3"/>
      <c r="Y760" s="2"/>
      <c r="Z760" s="2"/>
      <c r="AA760" s="2"/>
      <c r="AB760" s="2"/>
      <c r="AC760" s="2"/>
      <c r="AD760" s="2"/>
      <c r="AE760" s="2"/>
      <c r="AF760" s="2"/>
      <c r="AG760" s="2"/>
      <c r="AH760" s="2"/>
      <c r="AI760" s="2"/>
      <c r="AJ760" s="2"/>
      <c r="AK760" s="2"/>
      <c r="AL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3"/>
      <c r="Y761" s="2"/>
      <c r="Z761" s="2"/>
      <c r="AA761" s="2"/>
      <c r="AB761" s="2"/>
      <c r="AC761" s="2"/>
      <c r="AD761" s="2"/>
      <c r="AE761" s="2"/>
      <c r="AF761" s="2"/>
      <c r="AG761" s="2"/>
      <c r="AH761" s="2"/>
      <c r="AI761" s="2"/>
      <c r="AJ761" s="2"/>
      <c r="AK761" s="2"/>
      <c r="AL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3"/>
      <c r="Y762" s="2"/>
      <c r="Z762" s="2"/>
      <c r="AA762" s="2"/>
      <c r="AB762" s="2"/>
      <c r="AC762" s="2"/>
      <c r="AD762" s="2"/>
      <c r="AE762" s="2"/>
      <c r="AF762" s="2"/>
      <c r="AG762" s="2"/>
      <c r="AH762" s="2"/>
      <c r="AI762" s="2"/>
      <c r="AJ762" s="2"/>
      <c r="AK762" s="2"/>
      <c r="AL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3"/>
      <c r="Y763" s="2"/>
      <c r="Z763" s="2"/>
      <c r="AA763" s="2"/>
      <c r="AB763" s="2"/>
      <c r="AC763" s="2"/>
      <c r="AD763" s="2"/>
      <c r="AE763" s="2"/>
      <c r="AF763" s="2"/>
      <c r="AG763" s="2"/>
      <c r="AH763" s="2"/>
      <c r="AI763" s="2"/>
      <c r="AJ763" s="2"/>
      <c r="AK763" s="2"/>
      <c r="AL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3"/>
      <c r="Y764" s="2"/>
      <c r="Z764" s="2"/>
      <c r="AA764" s="2"/>
      <c r="AB764" s="2"/>
      <c r="AC764" s="2"/>
      <c r="AD764" s="2"/>
      <c r="AE764" s="2"/>
      <c r="AF764" s="2"/>
      <c r="AG764" s="2"/>
      <c r="AH764" s="2"/>
      <c r="AI764" s="2"/>
      <c r="AJ764" s="2"/>
      <c r="AK764" s="2"/>
      <c r="AL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3"/>
      <c r="Y765" s="2"/>
      <c r="Z765" s="2"/>
      <c r="AA765" s="2"/>
      <c r="AB765" s="2"/>
      <c r="AC765" s="2"/>
      <c r="AD765" s="2"/>
      <c r="AE765" s="2"/>
      <c r="AF765" s="2"/>
      <c r="AG765" s="2"/>
      <c r="AH765" s="2"/>
      <c r="AI765" s="2"/>
      <c r="AJ765" s="2"/>
      <c r="AK765" s="2"/>
      <c r="AL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3"/>
      <c r="Y766" s="2"/>
      <c r="Z766" s="2"/>
      <c r="AA766" s="2"/>
      <c r="AB766" s="2"/>
      <c r="AC766" s="2"/>
      <c r="AD766" s="2"/>
      <c r="AE766" s="2"/>
      <c r="AF766" s="2"/>
      <c r="AG766" s="2"/>
      <c r="AH766" s="2"/>
      <c r="AI766" s="2"/>
      <c r="AJ766" s="2"/>
      <c r="AK766" s="2"/>
      <c r="AL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3"/>
      <c r="Y767" s="2"/>
      <c r="Z767" s="2"/>
      <c r="AA767" s="2"/>
      <c r="AB767" s="2"/>
      <c r="AC767" s="2"/>
      <c r="AD767" s="2"/>
      <c r="AE767" s="2"/>
      <c r="AF767" s="2"/>
      <c r="AG767" s="2"/>
      <c r="AH767" s="2"/>
      <c r="AI767" s="2"/>
      <c r="AJ767" s="2"/>
      <c r="AK767" s="2"/>
      <c r="AL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3"/>
      <c r="Y768" s="2"/>
      <c r="Z768" s="2"/>
      <c r="AA768" s="2"/>
      <c r="AB768" s="2"/>
      <c r="AC768" s="2"/>
      <c r="AD768" s="2"/>
      <c r="AE768" s="2"/>
      <c r="AF768" s="2"/>
      <c r="AG768" s="2"/>
      <c r="AH768" s="2"/>
      <c r="AI768" s="2"/>
      <c r="AJ768" s="2"/>
      <c r="AK768" s="2"/>
      <c r="AL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3"/>
      <c r="Y769" s="2"/>
      <c r="Z769" s="2"/>
      <c r="AA769" s="2"/>
      <c r="AB769" s="2"/>
      <c r="AC769" s="2"/>
      <c r="AD769" s="2"/>
      <c r="AE769" s="2"/>
      <c r="AF769" s="2"/>
      <c r="AG769" s="2"/>
      <c r="AH769" s="2"/>
      <c r="AI769" s="2"/>
      <c r="AJ769" s="2"/>
      <c r="AK769" s="2"/>
      <c r="AL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3"/>
      <c r="Y770" s="2"/>
      <c r="Z770" s="2"/>
      <c r="AA770" s="2"/>
      <c r="AB770" s="2"/>
      <c r="AC770" s="2"/>
      <c r="AD770" s="2"/>
      <c r="AE770" s="2"/>
      <c r="AF770" s="2"/>
      <c r="AG770" s="2"/>
      <c r="AH770" s="2"/>
      <c r="AI770" s="2"/>
      <c r="AJ770" s="2"/>
      <c r="AK770" s="2"/>
      <c r="AL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3"/>
      <c r="Y771" s="2"/>
      <c r="Z771" s="2"/>
      <c r="AA771" s="2"/>
      <c r="AB771" s="2"/>
      <c r="AC771" s="2"/>
      <c r="AD771" s="2"/>
      <c r="AE771" s="2"/>
      <c r="AF771" s="2"/>
      <c r="AG771" s="2"/>
      <c r="AH771" s="2"/>
      <c r="AI771" s="2"/>
      <c r="AJ771" s="2"/>
      <c r="AK771" s="2"/>
      <c r="AL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3"/>
      <c r="Y772" s="2"/>
      <c r="Z772" s="2"/>
      <c r="AA772" s="2"/>
      <c r="AB772" s="2"/>
      <c r="AC772" s="2"/>
      <c r="AD772" s="2"/>
      <c r="AE772" s="2"/>
      <c r="AF772" s="2"/>
      <c r="AG772" s="2"/>
      <c r="AH772" s="2"/>
      <c r="AI772" s="2"/>
      <c r="AJ772" s="2"/>
      <c r="AK772" s="2"/>
      <c r="AL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3"/>
      <c r="Y773" s="2"/>
      <c r="Z773" s="2"/>
      <c r="AA773" s="2"/>
      <c r="AB773" s="2"/>
      <c r="AC773" s="2"/>
      <c r="AD773" s="2"/>
      <c r="AE773" s="2"/>
      <c r="AF773" s="2"/>
      <c r="AG773" s="2"/>
      <c r="AH773" s="2"/>
      <c r="AI773" s="2"/>
      <c r="AJ773" s="2"/>
      <c r="AK773" s="2"/>
      <c r="AL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3"/>
      <c r="Y774" s="2"/>
      <c r="Z774" s="2"/>
      <c r="AA774" s="2"/>
      <c r="AB774" s="2"/>
      <c r="AC774" s="2"/>
      <c r="AD774" s="2"/>
      <c r="AE774" s="2"/>
      <c r="AF774" s="2"/>
      <c r="AG774" s="2"/>
      <c r="AH774" s="2"/>
      <c r="AI774" s="2"/>
      <c r="AJ774" s="2"/>
      <c r="AK774" s="2"/>
      <c r="AL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3"/>
      <c r="Y775" s="2"/>
      <c r="Z775" s="2"/>
      <c r="AA775" s="2"/>
      <c r="AB775" s="2"/>
      <c r="AC775" s="2"/>
      <c r="AD775" s="2"/>
      <c r="AE775" s="2"/>
      <c r="AF775" s="2"/>
      <c r="AG775" s="2"/>
      <c r="AH775" s="2"/>
      <c r="AI775" s="2"/>
      <c r="AJ775" s="2"/>
      <c r="AK775" s="2"/>
      <c r="AL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3"/>
      <c r="Y776" s="2"/>
      <c r="Z776" s="2"/>
      <c r="AA776" s="2"/>
      <c r="AB776" s="2"/>
      <c r="AC776" s="2"/>
      <c r="AD776" s="2"/>
      <c r="AE776" s="2"/>
      <c r="AF776" s="2"/>
      <c r="AG776" s="2"/>
      <c r="AH776" s="2"/>
      <c r="AI776" s="2"/>
      <c r="AJ776" s="2"/>
      <c r="AK776" s="2"/>
      <c r="AL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3"/>
      <c r="Y777" s="2"/>
      <c r="Z777" s="2"/>
      <c r="AA777" s="2"/>
      <c r="AB777" s="2"/>
      <c r="AC777" s="2"/>
      <c r="AD777" s="2"/>
      <c r="AE777" s="2"/>
      <c r="AF777" s="2"/>
      <c r="AG777" s="2"/>
      <c r="AH777" s="2"/>
      <c r="AI777" s="2"/>
      <c r="AJ777" s="2"/>
      <c r="AK777" s="2"/>
      <c r="AL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3"/>
      <c r="Y778" s="2"/>
      <c r="Z778" s="2"/>
      <c r="AA778" s="2"/>
      <c r="AB778" s="2"/>
      <c r="AC778" s="2"/>
      <c r="AD778" s="2"/>
      <c r="AE778" s="2"/>
      <c r="AF778" s="2"/>
      <c r="AG778" s="2"/>
      <c r="AH778" s="2"/>
      <c r="AI778" s="2"/>
      <c r="AJ778" s="2"/>
      <c r="AK778" s="2"/>
      <c r="AL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3"/>
      <c r="Y779" s="2"/>
      <c r="Z779" s="2"/>
      <c r="AA779" s="2"/>
      <c r="AB779" s="2"/>
      <c r="AC779" s="2"/>
      <c r="AD779" s="2"/>
      <c r="AE779" s="2"/>
      <c r="AF779" s="2"/>
      <c r="AG779" s="2"/>
      <c r="AH779" s="2"/>
      <c r="AI779" s="2"/>
      <c r="AJ779" s="2"/>
      <c r="AK779" s="2"/>
      <c r="AL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3"/>
      <c r="Y780" s="2"/>
      <c r="Z780" s="2"/>
      <c r="AA780" s="2"/>
      <c r="AB780" s="2"/>
      <c r="AC780" s="2"/>
      <c r="AD780" s="2"/>
      <c r="AE780" s="2"/>
      <c r="AF780" s="2"/>
      <c r="AG780" s="2"/>
      <c r="AH780" s="2"/>
      <c r="AI780" s="2"/>
      <c r="AJ780" s="2"/>
      <c r="AK780" s="2"/>
      <c r="AL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3"/>
      <c r="Y781" s="2"/>
      <c r="Z781" s="2"/>
      <c r="AA781" s="2"/>
      <c r="AB781" s="2"/>
      <c r="AC781" s="2"/>
      <c r="AD781" s="2"/>
      <c r="AE781" s="2"/>
      <c r="AF781" s="2"/>
      <c r="AG781" s="2"/>
      <c r="AH781" s="2"/>
      <c r="AI781" s="2"/>
      <c r="AJ781" s="2"/>
      <c r="AK781" s="2"/>
      <c r="AL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3"/>
      <c r="Y782" s="2"/>
      <c r="Z782" s="2"/>
      <c r="AA782" s="2"/>
      <c r="AB782" s="2"/>
      <c r="AC782" s="2"/>
      <c r="AD782" s="2"/>
      <c r="AE782" s="2"/>
      <c r="AF782" s="2"/>
      <c r="AG782" s="2"/>
      <c r="AH782" s="2"/>
      <c r="AI782" s="2"/>
      <c r="AJ782" s="2"/>
      <c r="AK782" s="2"/>
      <c r="AL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3"/>
      <c r="Y783" s="2"/>
      <c r="Z783" s="2"/>
      <c r="AA783" s="2"/>
      <c r="AB783" s="2"/>
      <c r="AC783" s="2"/>
      <c r="AD783" s="2"/>
      <c r="AE783" s="2"/>
      <c r="AF783" s="2"/>
      <c r="AG783" s="2"/>
      <c r="AH783" s="2"/>
      <c r="AI783" s="2"/>
      <c r="AJ783" s="2"/>
      <c r="AK783" s="2"/>
      <c r="AL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3"/>
      <c r="Y784" s="2"/>
      <c r="Z784" s="2"/>
      <c r="AA784" s="2"/>
      <c r="AB784" s="2"/>
      <c r="AC784" s="2"/>
      <c r="AD784" s="2"/>
      <c r="AE784" s="2"/>
      <c r="AF784" s="2"/>
      <c r="AG784" s="2"/>
      <c r="AH784" s="2"/>
      <c r="AI784" s="2"/>
      <c r="AJ784" s="2"/>
      <c r="AK784" s="2"/>
      <c r="AL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3"/>
      <c r="Y785" s="2"/>
      <c r="Z785" s="2"/>
      <c r="AA785" s="2"/>
      <c r="AB785" s="2"/>
      <c r="AC785" s="2"/>
      <c r="AD785" s="2"/>
      <c r="AE785" s="2"/>
      <c r="AF785" s="2"/>
      <c r="AG785" s="2"/>
      <c r="AH785" s="2"/>
      <c r="AI785" s="2"/>
      <c r="AJ785" s="2"/>
      <c r="AK785" s="2"/>
      <c r="AL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3"/>
      <c r="Y786" s="2"/>
      <c r="Z786" s="2"/>
      <c r="AA786" s="2"/>
      <c r="AB786" s="2"/>
      <c r="AC786" s="2"/>
      <c r="AD786" s="2"/>
      <c r="AE786" s="2"/>
      <c r="AF786" s="2"/>
      <c r="AG786" s="2"/>
      <c r="AH786" s="2"/>
      <c r="AI786" s="2"/>
      <c r="AJ786" s="2"/>
      <c r="AK786" s="2"/>
      <c r="AL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3"/>
      <c r="Y787" s="2"/>
      <c r="Z787" s="2"/>
      <c r="AA787" s="2"/>
      <c r="AB787" s="2"/>
      <c r="AC787" s="2"/>
      <c r="AD787" s="2"/>
      <c r="AE787" s="2"/>
      <c r="AF787" s="2"/>
      <c r="AG787" s="2"/>
      <c r="AH787" s="2"/>
      <c r="AI787" s="2"/>
      <c r="AJ787" s="2"/>
      <c r="AK787" s="2"/>
      <c r="AL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3"/>
      <c r="Y788" s="2"/>
      <c r="Z788" s="2"/>
      <c r="AA788" s="2"/>
      <c r="AB788" s="2"/>
      <c r="AC788" s="2"/>
      <c r="AD788" s="2"/>
      <c r="AE788" s="2"/>
      <c r="AF788" s="2"/>
      <c r="AG788" s="2"/>
      <c r="AH788" s="2"/>
      <c r="AI788" s="2"/>
      <c r="AJ788" s="2"/>
      <c r="AK788" s="2"/>
      <c r="AL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3"/>
      <c r="Y789" s="2"/>
      <c r="Z789" s="2"/>
      <c r="AA789" s="2"/>
      <c r="AB789" s="2"/>
      <c r="AC789" s="2"/>
      <c r="AD789" s="2"/>
      <c r="AE789" s="2"/>
      <c r="AF789" s="2"/>
      <c r="AG789" s="2"/>
      <c r="AH789" s="2"/>
      <c r="AI789" s="2"/>
      <c r="AJ789" s="2"/>
      <c r="AK789" s="2"/>
      <c r="AL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3"/>
      <c r="Y790" s="2"/>
      <c r="Z790" s="2"/>
      <c r="AA790" s="2"/>
      <c r="AB790" s="2"/>
      <c r="AC790" s="2"/>
      <c r="AD790" s="2"/>
      <c r="AE790" s="2"/>
      <c r="AF790" s="2"/>
      <c r="AG790" s="2"/>
      <c r="AH790" s="2"/>
      <c r="AI790" s="2"/>
      <c r="AJ790" s="2"/>
      <c r="AK790" s="2"/>
      <c r="AL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3"/>
      <c r="Y791" s="2"/>
      <c r="Z791" s="2"/>
      <c r="AA791" s="2"/>
      <c r="AB791" s="2"/>
      <c r="AC791" s="2"/>
      <c r="AD791" s="2"/>
      <c r="AE791" s="2"/>
      <c r="AF791" s="2"/>
      <c r="AG791" s="2"/>
      <c r="AH791" s="2"/>
      <c r="AI791" s="2"/>
      <c r="AJ791" s="2"/>
      <c r="AK791" s="2"/>
      <c r="AL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3"/>
      <c r="Y792" s="2"/>
      <c r="Z792" s="2"/>
      <c r="AA792" s="2"/>
      <c r="AB792" s="2"/>
      <c r="AC792" s="2"/>
      <c r="AD792" s="2"/>
      <c r="AE792" s="2"/>
      <c r="AF792" s="2"/>
      <c r="AG792" s="2"/>
      <c r="AH792" s="2"/>
      <c r="AI792" s="2"/>
      <c r="AJ792" s="2"/>
      <c r="AK792" s="2"/>
      <c r="AL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3"/>
      <c r="Y793" s="2"/>
      <c r="Z793" s="2"/>
      <c r="AA793" s="2"/>
      <c r="AB793" s="2"/>
      <c r="AC793" s="2"/>
      <c r="AD793" s="2"/>
      <c r="AE793" s="2"/>
      <c r="AF793" s="2"/>
      <c r="AG793" s="2"/>
      <c r="AH793" s="2"/>
      <c r="AI793" s="2"/>
      <c r="AJ793" s="2"/>
      <c r="AK793" s="2"/>
      <c r="AL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3"/>
      <c r="Y794" s="2"/>
      <c r="Z794" s="2"/>
      <c r="AA794" s="2"/>
      <c r="AB794" s="2"/>
      <c r="AC794" s="2"/>
      <c r="AD794" s="2"/>
      <c r="AE794" s="2"/>
      <c r="AF794" s="2"/>
      <c r="AG794" s="2"/>
      <c r="AH794" s="2"/>
      <c r="AI794" s="2"/>
      <c r="AJ794" s="2"/>
      <c r="AK794" s="2"/>
      <c r="AL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3"/>
      <c r="Y795" s="2"/>
      <c r="Z795" s="2"/>
      <c r="AA795" s="2"/>
      <c r="AB795" s="2"/>
      <c r="AC795" s="2"/>
      <c r="AD795" s="2"/>
      <c r="AE795" s="2"/>
      <c r="AF795" s="2"/>
      <c r="AG795" s="2"/>
      <c r="AH795" s="2"/>
      <c r="AI795" s="2"/>
      <c r="AJ795" s="2"/>
      <c r="AK795" s="2"/>
      <c r="AL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3"/>
      <c r="Y796" s="2"/>
      <c r="Z796" s="2"/>
      <c r="AA796" s="2"/>
      <c r="AB796" s="2"/>
      <c r="AC796" s="2"/>
      <c r="AD796" s="2"/>
      <c r="AE796" s="2"/>
      <c r="AF796" s="2"/>
      <c r="AG796" s="2"/>
      <c r="AH796" s="2"/>
      <c r="AI796" s="2"/>
      <c r="AJ796" s="2"/>
      <c r="AK796" s="2"/>
      <c r="AL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3"/>
      <c r="Y797" s="2"/>
      <c r="Z797" s="2"/>
      <c r="AA797" s="2"/>
      <c r="AB797" s="2"/>
      <c r="AC797" s="2"/>
      <c r="AD797" s="2"/>
      <c r="AE797" s="2"/>
      <c r="AF797" s="2"/>
      <c r="AG797" s="2"/>
      <c r="AH797" s="2"/>
      <c r="AI797" s="2"/>
      <c r="AJ797" s="2"/>
      <c r="AK797" s="2"/>
      <c r="AL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3"/>
      <c r="Y798" s="2"/>
      <c r="Z798" s="2"/>
      <c r="AA798" s="2"/>
      <c r="AB798" s="2"/>
      <c r="AC798" s="2"/>
      <c r="AD798" s="2"/>
      <c r="AE798" s="2"/>
      <c r="AF798" s="2"/>
      <c r="AG798" s="2"/>
      <c r="AH798" s="2"/>
      <c r="AI798" s="2"/>
      <c r="AJ798" s="2"/>
      <c r="AK798" s="2"/>
      <c r="AL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3"/>
      <c r="Y799" s="2"/>
      <c r="Z799" s="2"/>
      <c r="AA799" s="2"/>
      <c r="AB799" s="2"/>
      <c r="AC799" s="2"/>
      <c r="AD799" s="2"/>
      <c r="AE799" s="2"/>
      <c r="AF799" s="2"/>
      <c r="AG799" s="2"/>
      <c r="AH799" s="2"/>
      <c r="AI799" s="2"/>
      <c r="AJ799" s="2"/>
      <c r="AK799" s="2"/>
      <c r="AL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3"/>
      <c r="Y800" s="2"/>
      <c r="Z800" s="2"/>
      <c r="AA800" s="2"/>
      <c r="AB800" s="2"/>
      <c r="AC800" s="2"/>
      <c r="AD800" s="2"/>
      <c r="AE800" s="2"/>
      <c r="AF800" s="2"/>
      <c r="AG800" s="2"/>
      <c r="AH800" s="2"/>
      <c r="AI800" s="2"/>
      <c r="AJ800" s="2"/>
      <c r="AK800" s="2"/>
      <c r="AL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3"/>
      <c r="Y801" s="2"/>
      <c r="Z801" s="2"/>
      <c r="AA801" s="2"/>
      <c r="AB801" s="2"/>
      <c r="AC801" s="2"/>
      <c r="AD801" s="2"/>
      <c r="AE801" s="2"/>
      <c r="AF801" s="2"/>
      <c r="AG801" s="2"/>
      <c r="AH801" s="2"/>
      <c r="AI801" s="2"/>
      <c r="AJ801" s="2"/>
      <c r="AK801" s="2"/>
      <c r="AL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3"/>
      <c r="Y802" s="2"/>
      <c r="Z802" s="2"/>
      <c r="AA802" s="2"/>
      <c r="AB802" s="2"/>
      <c r="AC802" s="2"/>
      <c r="AD802" s="2"/>
      <c r="AE802" s="2"/>
      <c r="AF802" s="2"/>
      <c r="AG802" s="2"/>
      <c r="AH802" s="2"/>
      <c r="AI802" s="2"/>
      <c r="AJ802" s="2"/>
      <c r="AK802" s="2"/>
      <c r="AL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3"/>
      <c r="Y803" s="2"/>
      <c r="Z803" s="2"/>
      <c r="AA803" s="2"/>
      <c r="AB803" s="2"/>
      <c r="AC803" s="2"/>
      <c r="AD803" s="2"/>
      <c r="AE803" s="2"/>
      <c r="AF803" s="2"/>
      <c r="AG803" s="2"/>
      <c r="AH803" s="2"/>
      <c r="AI803" s="2"/>
      <c r="AJ803" s="2"/>
      <c r="AK803" s="2"/>
      <c r="AL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3"/>
      <c r="Y804" s="2"/>
      <c r="Z804" s="2"/>
      <c r="AA804" s="2"/>
      <c r="AB804" s="2"/>
      <c r="AC804" s="2"/>
      <c r="AD804" s="2"/>
      <c r="AE804" s="2"/>
      <c r="AF804" s="2"/>
      <c r="AG804" s="2"/>
      <c r="AH804" s="2"/>
      <c r="AI804" s="2"/>
      <c r="AJ804" s="2"/>
      <c r="AK804" s="2"/>
      <c r="AL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3"/>
      <c r="Y805" s="2"/>
      <c r="Z805" s="2"/>
      <c r="AA805" s="2"/>
      <c r="AB805" s="2"/>
      <c r="AC805" s="2"/>
      <c r="AD805" s="2"/>
      <c r="AE805" s="2"/>
      <c r="AF805" s="2"/>
      <c r="AG805" s="2"/>
      <c r="AH805" s="2"/>
      <c r="AI805" s="2"/>
      <c r="AJ805" s="2"/>
      <c r="AK805" s="2"/>
      <c r="AL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3"/>
      <c r="Y806" s="2"/>
      <c r="Z806" s="2"/>
      <c r="AA806" s="2"/>
      <c r="AB806" s="2"/>
      <c r="AC806" s="2"/>
      <c r="AD806" s="2"/>
      <c r="AE806" s="2"/>
      <c r="AF806" s="2"/>
      <c r="AG806" s="2"/>
      <c r="AH806" s="2"/>
      <c r="AI806" s="2"/>
      <c r="AJ806" s="2"/>
      <c r="AK806" s="2"/>
      <c r="AL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3"/>
      <c r="Y807" s="2"/>
      <c r="Z807" s="2"/>
      <c r="AA807" s="2"/>
      <c r="AB807" s="2"/>
      <c r="AC807" s="2"/>
      <c r="AD807" s="2"/>
      <c r="AE807" s="2"/>
      <c r="AF807" s="2"/>
      <c r="AG807" s="2"/>
      <c r="AH807" s="2"/>
      <c r="AI807" s="2"/>
      <c r="AJ807" s="2"/>
      <c r="AK807" s="2"/>
      <c r="AL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3"/>
      <c r="Y808" s="2"/>
      <c r="Z808" s="2"/>
      <c r="AA808" s="2"/>
      <c r="AB808" s="2"/>
      <c r="AC808" s="2"/>
      <c r="AD808" s="2"/>
      <c r="AE808" s="2"/>
      <c r="AF808" s="2"/>
      <c r="AG808" s="2"/>
      <c r="AH808" s="2"/>
      <c r="AI808" s="2"/>
      <c r="AJ808" s="2"/>
      <c r="AK808" s="2"/>
      <c r="AL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3"/>
      <c r="Y809" s="2"/>
      <c r="Z809" s="2"/>
      <c r="AA809" s="2"/>
      <c r="AB809" s="2"/>
      <c r="AC809" s="2"/>
      <c r="AD809" s="2"/>
      <c r="AE809" s="2"/>
      <c r="AF809" s="2"/>
      <c r="AG809" s="2"/>
      <c r="AH809" s="2"/>
      <c r="AI809" s="2"/>
      <c r="AJ809" s="2"/>
      <c r="AK809" s="2"/>
      <c r="AL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3"/>
      <c r="Y810" s="2"/>
      <c r="Z810" s="2"/>
      <c r="AA810" s="2"/>
      <c r="AB810" s="2"/>
      <c r="AC810" s="2"/>
      <c r="AD810" s="2"/>
      <c r="AE810" s="2"/>
      <c r="AF810" s="2"/>
      <c r="AG810" s="2"/>
      <c r="AH810" s="2"/>
      <c r="AI810" s="2"/>
      <c r="AJ810" s="2"/>
      <c r="AK810" s="2"/>
      <c r="AL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3"/>
      <c r="Y811" s="2"/>
      <c r="Z811" s="2"/>
      <c r="AA811" s="2"/>
      <c r="AB811" s="2"/>
      <c r="AC811" s="2"/>
      <c r="AD811" s="2"/>
      <c r="AE811" s="2"/>
      <c r="AF811" s="2"/>
      <c r="AG811" s="2"/>
      <c r="AH811" s="2"/>
      <c r="AI811" s="2"/>
      <c r="AJ811" s="2"/>
      <c r="AK811" s="2"/>
      <c r="AL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3"/>
      <c r="Y812" s="2"/>
      <c r="Z812" s="2"/>
      <c r="AA812" s="2"/>
      <c r="AB812" s="2"/>
      <c r="AC812" s="2"/>
      <c r="AD812" s="2"/>
      <c r="AE812" s="2"/>
      <c r="AF812" s="2"/>
      <c r="AG812" s="2"/>
      <c r="AH812" s="2"/>
      <c r="AI812" s="2"/>
      <c r="AJ812" s="2"/>
      <c r="AK812" s="2"/>
      <c r="AL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3"/>
      <c r="Y813" s="2"/>
      <c r="Z813" s="2"/>
      <c r="AA813" s="2"/>
      <c r="AB813" s="2"/>
      <c r="AC813" s="2"/>
      <c r="AD813" s="2"/>
      <c r="AE813" s="2"/>
      <c r="AF813" s="2"/>
      <c r="AG813" s="2"/>
      <c r="AH813" s="2"/>
      <c r="AI813" s="2"/>
      <c r="AJ813" s="2"/>
      <c r="AK813" s="2"/>
      <c r="AL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3"/>
      <c r="Y814" s="2"/>
      <c r="Z814" s="2"/>
      <c r="AA814" s="2"/>
      <c r="AB814" s="2"/>
      <c r="AC814" s="2"/>
      <c r="AD814" s="2"/>
      <c r="AE814" s="2"/>
      <c r="AF814" s="2"/>
      <c r="AG814" s="2"/>
      <c r="AH814" s="2"/>
      <c r="AI814" s="2"/>
      <c r="AJ814" s="2"/>
      <c r="AK814" s="2"/>
      <c r="AL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3"/>
      <c r="Y815" s="2"/>
      <c r="Z815" s="2"/>
      <c r="AA815" s="2"/>
      <c r="AB815" s="2"/>
      <c r="AC815" s="2"/>
      <c r="AD815" s="2"/>
      <c r="AE815" s="2"/>
      <c r="AF815" s="2"/>
      <c r="AG815" s="2"/>
      <c r="AH815" s="2"/>
      <c r="AI815" s="2"/>
      <c r="AJ815" s="2"/>
      <c r="AK815" s="2"/>
      <c r="AL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3"/>
      <c r="Y816" s="2"/>
      <c r="Z816" s="2"/>
      <c r="AA816" s="2"/>
      <c r="AB816" s="2"/>
      <c r="AC816" s="2"/>
      <c r="AD816" s="2"/>
      <c r="AE816" s="2"/>
      <c r="AF816" s="2"/>
      <c r="AG816" s="2"/>
      <c r="AH816" s="2"/>
      <c r="AI816" s="2"/>
      <c r="AJ816" s="2"/>
      <c r="AK816" s="2"/>
      <c r="AL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3"/>
      <c r="Y817" s="2"/>
      <c r="Z817" s="2"/>
      <c r="AA817" s="2"/>
      <c r="AB817" s="2"/>
      <c r="AC817" s="2"/>
      <c r="AD817" s="2"/>
      <c r="AE817" s="2"/>
      <c r="AF817" s="2"/>
      <c r="AG817" s="2"/>
      <c r="AH817" s="2"/>
      <c r="AI817" s="2"/>
      <c r="AJ817" s="2"/>
      <c r="AK817" s="2"/>
      <c r="AL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3"/>
      <c r="Y818" s="2"/>
      <c r="Z818" s="2"/>
      <c r="AA818" s="2"/>
      <c r="AB818" s="2"/>
      <c r="AC818" s="2"/>
      <c r="AD818" s="2"/>
      <c r="AE818" s="2"/>
      <c r="AF818" s="2"/>
      <c r="AG818" s="2"/>
      <c r="AH818" s="2"/>
      <c r="AI818" s="2"/>
      <c r="AJ818" s="2"/>
      <c r="AK818" s="2"/>
      <c r="AL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3"/>
      <c r="Y819" s="2"/>
      <c r="Z819" s="2"/>
      <c r="AA819" s="2"/>
      <c r="AB819" s="2"/>
      <c r="AC819" s="2"/>
      <c r="AD819" s="2"/>
      <c r="AE819" s="2"/>
      <c r="AF819" s="2"/>
      <c r="AG819" s="2"/>
      <c r="AH819" s="2"/>
      <c r="AI819" s="2"/>
      <c r="AJ819" s="2"/>
      <c r="AK819" s="2"/>
      <c r="AL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3"/>
      <c r="Y820" s="2"/>
      <c r="Z820" s="2"/>
      <c r="AA820" s="2"/>
      <c r="AB820" s="2"/>
      <c r="AC820" s="2"/>
      <c r="AD820" s="2"/>
      <c r="AE820" s="2"/>
      <c r="AF820" s="2"/>
      <c r="AG820" s="2"/>
      <c r="AH820" s="2"/>
      <c r="AI820" s="2"/>
      <c r="AJ820" s="2"/>
      <c r="AK820" s="2"/>
      <c r="AL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3"/>
      <c r="Y821" s="2"/>
      <c r="Z821" s="2"/>
      <c r="AA821" s="2"/>
      <c r="AB821" s="2"/>
      <c r="AC821" s="2"/>
      <c r="AD821" s="2"/>
      <c r="AE821" s="2"/>
      <c r="AF821" s="2"/>
      <c r="AG821" s="2"/>
      <c r="AH821" s="2"/>
      <c r="AI821" s="2"/>
      <c r="AJ821" s="2"/>
      <c r="AK821" s="2"/>
      <c r="AL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3"/>
      <c r="Y822" s="2"/>
      <c r="Z822" s="2"/>
      <c r="AA822" s="2"/>
      <c r="AB822" s="2"/>
      <c r="AC822" s="2"/>
      <c r="AD822" s="2"/>
      <c r="AE822" s="2"/>
      <c r="AF822" s="2"/>
      <c r="AG822" s="2"/>
      <c r="AH822" s="2"/>
      <c r="AI822" s="2"/>
      <c r="AJ822" s="2"/>
      <c r="AK822" s="2"/>
      <c r="AL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3"/>
      <c r="Y823" s="2"/>
      <c r="Z823" s="2"/>
      <c r="AA823" s="2"/>
      <c r="AB823" s="2"/>
      <c r="AC823" s="2"/>
      <c r="AD823" s="2"/>
      <c r="AE823" s="2"/>
      <c r="AF823" s="2"/>
      <c r="AG823" s="2"/>
      <c r="AH823" s="2"/>
      <c r="AI823" s="2"/>
      <c r="AJ823" s="2"/>
      <c r="AK823" s="2"/>
      <c r="AL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3"/>
      <c r="Y824" s="2"/>
      <c r="Z824" s="2"/>
      <c r="AA824" s="2"/>
      <c r="AB824" s="2"/>
      <c r="AC824" s="2"/>
      <c r="AD824" s="2"/>
      <c r="AE824" s="2"/>
      <c r="AF824" s="2"/>
      <c r="AG824" s="2"/>
      <c r="AH824" s="2"/>
      <c r="AI824" s="2"/>
      <c r="AJ824" s="2"/>
      <c r="AK824" s="2"/>
      <c r="AL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3"/>
      <c r="Y825" s="2"/>
      <c r="Z825" s="2"/>
      <c r="AA825" s="2"/>
      <c r="AB825" s="2"/>
      <c r="AC825" s="2"/>
      <c r="AD825" s="2"/>
      <c r="AE825" s="2"/>
      <c r="AF825" s="2"/>
      <c r="AG825" s="2"/>
      <c r="AH825" s="2"/>
      <c r="AI825" s="2"/>
      <c r="AJ825" s="2"/>
      <c r="AK825" s="2"/>
      <c r="AL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3"/>
      <c r="Y826" s="2"/>
      <c r="Z826" s="2"/>
      <c r="AA826" s="2"/>
      <c r="AB826" s="2"/>
      <c r="AC826" s="2"/>
      <c r="AD826" s="2"/>
      <c r="AE826" s="2"/>
      <c r="AF826" s="2"/>
      <c r="AG826" s="2"/>
      <c r="AH826" s="2"/>
      <c r="AI826" s="2"/>
      <c r="AJ826" s="2"/>
      <c r="AK826" s="2"/>
      <c r="AL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3"/>
      <c r="Y827" s="2"/>
      <c r="Z827" s="2"/>
      <c r="AA827" s="2"/>
      <c r="AB827" s="2"/>
      <c r="AC827" s="2"/>
      <c r="AD827" s="2"/>
      <c r="AE827" s="2"/>
      <c r="AF827" s="2"/>
      <c r="AG827" s="2"/>
      <c r="AH827" s="2"/>
      <c r="AI827" s="2"/>
      <c r="AJ827" s="2"/>
      <c r="AK827" s="2"/>
      <c r="AL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3"/>
      <c r="Y828" s="2"/>
      <c r="Z828" s="2"/>
      <c r="AA828" s="2"/>
      <c r="AB828" s="2"/>
      <c r="AC828" s="2"/>
      <c r="AD828" s="2"/>
      <c r="AE828" s="2"/>
      <c r="AF828" s="2"/>
      <c r="AG828" s="2"/>
      <c r="AH828" s="2"/>
      <c r="AI828" s="2"/>
      <c r="AJ828" s="2"/>
      <c r="AK828" s="2"/>
      <c r="AL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3"/>
      <c r="Y829" s="2"/>
      <c r="Z829" s="2"/>
      <c r="AA829" s="2"/>
      <c r="AB829" s="2"/>
      <c r="AC829" s="2"/>
      <c r="AD829" s="2"/>
      <c r="AE829" s="2"/>
      <c r="AF829" s="2"/>
      <c r="AG829" s="2"/>
      <c r="AH829" s="2"/>
      <c r="AI829" s="2"/>
      <c r="AJ829" s="2"/>
      <c r="AK829" s="2"/>
      <c r="AL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3"/>
      <c r="Y830" s="2"/>
      <c r="Z830" s="2"/>
      <c r="AA830" s="2"/>
      <c r="AB830" s="2"/>
      <c r="AC830" s="2"/>
      <c r="AD830" s="2"/>
      <c r="AE830" s="2"/>
      <c r="AF830" s="2"/>
      <c r="AG830" s="2"/>
      <c r="AH830" s="2"/>
      <c r="AI830" s="2"/>
      <c r="AJ830" s="2"/>
      <c r="AK830" s="2"/>
      <c r="AL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3"/>
      <c r="Y831" s="2"/>
      <c r="Z831" s="2"/>
      <c r="AA831" s="2"/>
      <c r="AB831" s="2"/>
      <c r="AC831" s="2"/>
      <c r="AD831" s="2"/>
      <c r="AE831" s="2"/>
      <c r="AF831" s="2"/>
      <c r="AG831" s="2"/>
      <c r="AH831" s="2"/>
      <c r="AI831" s="2"/>
      <c r="AJ831" s="2"/>
      <c r="AK831" s="2"/>
      <c r="AL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3"/>
      <c r="Y832" s="2"/>
      <c r="Z832" s="2"/>
      <c r="AA832" s="2"/>
      <c r="AB832" s="2"/>
      <c r="AC832" s="2"/>
      <c r="AD832" s="2"/>
      <c r="AE832" s="2"/>
      <c r="AF832" s="2"/>
      <c r="AG832" s="2"/>
      <c r="AH832" s="2"/>
      <c r="AI832" s="2"/>
      <c r="AJ832" s="2"/>
      <c r="AK832" s="2"/>
      <c r="AL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3"/>
      <c r="Y833" s="2"/>
      <c r="Z833" s="2"/>
      <c r="AA833" s="2"/>
      <c r="AB833" s="2"/>
      <c r="AC833" s="2"/>
      <c r="AD833" s="2"/>
      <c r="AE833" s="2"/>
      <c r="AF833" s="2"/>
      <c r="AG833" s="2"/>
      <c r="AH833" s="2"/>
      <c r="AI833" s="2"/>
      <c r="AJ833" s="2"/>
      <c r="AK833" s="2"/>
      <c r="AL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3"/>
      <c r="Y834" s="2"/>
      <c r="Z834" s="2"/>
      <c r="AA834" s="2"/>
      <c r="AB834" s="2"/>
      <c r="AC834" s="2"/>
      <c r="AD834" s="2"/>
      <c r="AE834" s="2"/>
      <c r="AF834" s="2"/>
      <c r="AG834" s="2"/>
      <c r="AH834" s="2"/>
      <c r="AI834" s="2"/>
      <c r="AJ834" s="2"/>
      <c r="AK834" s="2"/>
      <c r="AL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3"/>
      <c r="Y835" s="2"/>
      <c r="Z835" s="2"/>
      <c r="AA835" s="2"/>
      <c r="AB835" s="2"/>
      <c r="AC835" s="2"/>
      <c r="AD835" s="2"/>
      <c r="AE835" s="2"/>
      <c r="AF835" s="2"/>
      <c r="AG835" s="2"/>
      <c r="AH835" s="2"/>
      <c r="AI835" s="2"/>
      <c r="AJ835" s="2"/>
      <c r="AK835" s="2"/>
      <c r="AL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3"/>
      <c r="Y836" s="2"/>
      <c r="Z836" s="2"/>
      <c r="AA836" s="2"/>
      <c r="AB836" s="2"/>
      <c r="AC836" s="2"/>
      <c r="AD836" s="2"/>
      <c r="AE836" s="2"/>
      <c r="AF836" s="2"/>
      <c r="AG836" s="2"/>
      <c r="AH836" s="2"/>
      <c r="AI836" s="2"/>
      <c r="AJ836" s="2"/>
      <c r="AK836" s="2"/>
      <c r="AL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3"/>
      <c r="Y837" s="2"/>
      <c r="Z837" s="2"/>
      <c r="AA837" s="2"/>
      <c r="AB837" s="2"/>
      <c r="AC837" s="2"/>
      <c r="AD837" s="2"/>
      <c r="AE837" s="2"/>
      <c r="AF837" s="2"/>
      <c r="AG837" s="2"/>
      <c r="AH837" s="2"/>
      <c r="AI837" s="2"/>
      <c r="AJ837" s="2"/>
      <c r="AK837" s="2"/>
      <c r="AL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3"/>
      <c r="Y838" s="2"/>
      <c r="Z838" s="2"/>
      <c r="AA838" s="2"/>
      <c r="AB838" s="2"/>
      <c r="AC838" s="2"/>
      <c r="AD838" s="2"/>
      <c r="AE838" s="2"/>
      <c r="AF838" s="2"/>
      <c r="AG838" s="2"/>
      <c r="AH838" s="2"/>
      <c r="AI838" s="2"/>
      <c r="AJ838" s="2"/>
      <c r="AK838" s="2"/>
      <c r="AL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3"/>
      <c r="Y839" s="2"/>
      <c r="Z839" s="2"/>
      <c r="AA839" s="2"/>
      <c r="AB839" s="2"/>
      <c r="AC839" s="2"/>
      <c r="AD839" s="2"/>
      <c r="AE839" s="2"/>
      <c r="AF839" s="2"/>
      <c r="AG839" s="2"/>
      <c r="AH839" s="2"/>
      <c r="AI839" s="2"/>
      <c r="AJ839" s="2"/>
      <c r="AK839" s="2"/>
      <c r="AL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3"/>
      <c r="Y840" s="2"/>
      <c r="Z840" s="2"/>
      <c r="AA840" s="2"/>
      <c r="AB840" s="2"/>
      <c r="AC840" s="2"/>
      <c r="AD840" s="2"/>
      <c r="AE840" s="2"/>
      <c r="AF840" s="2"/>
      <c r="AG840" s="2"/>
      <c r="AH840" s="2"/>
      <c r="AI840" s="2"/>
      <c r="AJ840" s="2"/>
      <c r="AK840" s="2"/>
      <c r="AL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3"/>
      <c r="Y841" s="2"/>
      <c r="Z841" s="2"/>
      <c r="AA841" s="2"/>
      <c r="AB841" s="2"/>
      <c r="AC841" s="2"/>
      <c r="AD841" s="2"/>
      <c r="AE841" s="2"/>
      <c r="AF841" s="2"/>
      <c r="AG841" s="2"/>
      <c r="AH841" s="2"/>
      <c r="AI841" s="2"/>
      <c r="AJ841" s="2"/>
      <c r="AK841" s="2"/>
      <c r="AL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3"/>
      <c r="Y842" s="2"/>
      <c r="Z842" s="2"/>
      <c r="AA842" s="2"/>
      <c r="AB842" s="2"/>
      <c r="AC842" s="2"/>
      <c r="AD842" s="2"/>
      <c r="AE842" s="2"/>
      <c r="AF842" s="2"/>
      <c r="AG842" s="2"/>
      <c r="AH842" s="2"/>
      <c r="AI842" s="2"/>
      <c r="AJ842" s="2"/>
      <c r="AK842" s="2"/>
      <c r="AL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3"/>
      <c r="Y843" s="2"/>
      <c r="Z843" s="2"/>
      <c r="AA843" s="2"/>
      <c r="AB843" s="2"/>
      <c r="AC843" s="2"/>
      <c r="AD843" s="2"/>
      <c r="AE843" s="2"/>
      <c r="AF843" s="2"/>
      <c r="AG843" s="2"/>
      <c r="AH843" s="2"/>
      <c r="AI843" s="2"/>
      <c r="AJ843" s="2"/>
      <c r="AK843" s="2"/>
      <c r="AL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3"/>
      <c r="Y844" s="2"/>
      <c r="Z844" s="2"/>
      <c r="AA844" s="2"/>
      <c r="AB844" s="2"/>
      <c r="AC844" s="2"/>
      <c r="AD844" s="2"/>
      <c r="AE844" s="2"/>
      <c r="AF844" s="2"/>
      <c r="AG844" s="2"/>
      <c r="AH844" s="2"/>
      <c r="AI844" s="2"/>
      <c r="AJ844" s="2"/>
      <c r="AK844" s="2"/>
      <c r="AL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3"/>
      <c r="Y845" s="2"/>
      <c r="Z845" s="2"/>
      <c r="AA845" s="2"/>
      <c r="AB845" s="2"/>
      <c r="AC845" s="2"/>
      <c r="AD845" s="2"/>
      <c r="AE845" s="2"/>
      <c r="AF845" s="2"/>
      <c r="AG845" s="2"/>
      <c r="AH845" s="2"/>
      <c r="AI845" s="2"/>
      <c r="AJ845" s="2"/>
      <c r="AK845" s="2"/>
      <c r="AL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3"/>
      <c r="Y846" s="2"/>
      <c r="Z846" s="2"/>
      <c r="AA846" s="2"/>
      <c r="AB846" s="2"/>
      <c r="AC846" s="2"/>
      <c r="AD846" s="2"/>
      <c r="AE846" s="2"/>
      <c r="AF846" s="2"/>
      <c r="AG846" s="2"/>
      <c r="AH846" s="2"/>
      <c r="AI846" s="2"/>
      <c r="AJ846" s="2"/>
      <c r="AK846" s="2"/>
      <c r="AL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3"/>
      <c r="Y847" s="2"/>
      <c r="Z847" s="2"/>
      <c r="AA847" s="2"/>
      <c r="AB847" s="2"/>
      <c r="AC847" s="2"/>
      <c r="AD847" s="2"/>
      <c r="AE847" s="2"/>
      <c r="AF847" s="2"/>
      <c r="AG847" s="2"/>
      <c r="AH847" s="2"/>
      <c r="AI847" s="2"/>
      <c r="AJ847" s="2"/>
      <c r="AK847" s="2"/>
      <c r="AL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3"/>
      <c r="Y848" s="2"/>
      <c r="Z848" s="2"/>
      <c r="AA848" s="2"/>
      <c r="AB848" s="2"/>
      <c r="AC848" s="2"/>
      <c r="AD848" s="2"/>
      <c r="AE848" s="2"/>
      <c r="AF848" s="2"/>
      <c r="AG848" s="2"/>
      <c r="AH848" s="2"/>
      <c r="AI848" s="2"/>
      <c r="AJ848" s="2"/>
      <c r="AK848" s="2"/>
      <c r="AL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3"/>
      <c r="Y849" s="2"/>
      <c r="Z849" s="2"/>
      <c r="AA849" s="2"/>
      <c r="AB849" s="2"/>
      <c r="AC849" s="2"/>
      <c r="AD849" s="2"/>
      <c r="AE849" s="2"/>
      <c r="AF849" s="2"/>
      <c r="AG849" s="2"/>
      <c r="AH849" s="2"/>
      <c r="AI849" s="2"/>
      <c r="AJ849" s="2"/>
      <c r="AK849" s="2"/>
      <c r="AL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3"/>
      <c r="Y850" s="2"/>
      <c r="Z850" s="2"/>
      <c r="AA850" s="2"/>
      <c r="AB850" s="2"/>
      <c r="AC850" s="2"/>
      <c r="AD850" s="2"/>
      <c r="AE850" s="2"/>
      <c r="AF850" s="2"/>
      <c r="AG850" s="2"/>
      <c r="AH850" s="2"/>
      <c r="AI850" s="2"/>
      <c r="AJ850" s="2"/>
      <c r="AK850" s="2"/>
      <c r="AL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3"/>
      <c r="Y851" s="2"/>
      <c r="Z851" s="2"/>
      <c r="AA851" s="2"/>
      <c r="AB851" s="2"/>
      <c r="AC851" s="2"/>
      <c r="AD851" s="2"/>
      <c r="AE851" s="2"/>
      <c r="AF851" s="2"/>
      <c r="AG851" s="2"/>
      <c r="AH851" s="2"/>
      <c r="AI851" s="2"/>
      <c r="AJ851" s="2"/>
      <c r="AK851" s="2"/>
      <c r="AL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3"/>
      <c r="Y852" s="2"/>
      <c r="Z852" s="2"/>
      <c r="AA852" s="2"/>
      <c r="AB852" s="2"/>
      <c r="AC852" s="2"/>
      <c r="AD852" s="2"/>
      <c r="AE852" s="2"/>
      <c r="AF852" s="2"/>
      <c r="AG852" s="2"/>
      <c r="AH852" s="2"/>
      <c r="AI852" s="2"/>
      <c r="AJ852" s="2"/>
      <c r="AK852" s="2"/>
      <c r="AL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3"/>
      <c r="Y853" s="2"/>
      <c r="Z853" s="2"/>
      <c r="AA853" s="2"/>
      <c r="AB853" s="2"/>
      <c r="AC853" s="2"/>
      <c r="AD853" s="2"/>
      <c r="AE853" s="2"/>
      <c r="AF853" s="2"/>
      <c r="AG853" s="2"/>
      <c r="AH853" s="2"/>
      <c r="AI853" s="2"/>
      <c r="AJ853" s="2"/>
      <c r="AK853" s="2"/>
      <c r="AL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3"/>
      <c r="Y854" s="2"/>
      <c r="Z854" s="2"/>
      <c r="AA854" s="2"/>
      <c r="AB854" s="2"/>
      <c r="AC854" s="2"/>
      <c r="AD854" s="2"/>
      <c r="AE854" s="2"/>
      <c r="AF854" s="2"/>
      <c r="AG854" s="2"/>
      <c r="AH854" s="2"/>
      <c r="AI854" s="2"/>
      <c r="AJ854" s="2"/>
      <c r="AK854" s="2"/>
      <c r="AL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3"/>
      <c r="Y855" s="2"/>
      <c r="Z855" s="2"/>
      <c r="AA855" s="2"/>
      <c r="AB855" s="2"/>
      <c r="AC855" s="2"/>
      <c r="AD855" s="2"/>
      <c r="AE855" s="2"/>
      <c r="AF855" s="2"/>
      <c r="AG855" s="2"/>
      <c r="AH855" s="2"/>
      <c r="AI855" s="2"/>
      <c r="AJ855" s="2"/>
      <c r="AK855" s="2"/>
      <c r="AL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3"/>
      <c r="Y856" s="2"/>
      <c r="Z856" s="2"/>
      <c r="AA856" s="2"/>
      <c r="AB856" s="2"/>
      <c r="AC856" s="2"/>
      <c r="AD856" s="2"/>
      <c r="AE856" s="2"/>
      <c r="AF856" s="2"/>
      <c r="AG856" s="2"/>
      <c r="AH856" s="2"/>
      <c r="AI856" s="2"/>
      <c r="AJ856" s="2"/>
      <c r="AK856" s="2"/>
      <c r="AL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3"/>
      <c r="Y857" s="2"/>
      <c r="Z857" s="2"/>
      <c r="AA857" s="2"/>
      <c r="AB857" s="2"/>
      <c r="AC857" s="2"/>
      <c r="AD857" s="2"/>
      <c r="AE857" s="2"/>
      <c r="AF857" s="2"/>
      <c r="AG857" s="2"/>
      <c r="AH857" s="2"/>
      <c r="AI857" s="2"/>
      <c r="AJ857" s="2"/>
      <c r="AK857" s="2"/>
      <c r="AL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3"/>
      <c r="Y858" s="2"/>
      <c r="Z858" s="2"/>
      <c r="AA858" s="2"/>
      <c r="AB858" s="2"/>
      <c r="AC858" s="2"/>
      <c r="AD858" s="2"/>
      <c r="AE858" s="2"/>
      <c r="AF858" s="2"/>
      <c r="AG858" s="2"/>
      <c r="AH858" s="2"/>
      <c r="AI858" s="2"/>
      <c r="AJ858" s="2"/>
      <c r="AK858" s="2"/>
      <c r="AL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3"/>
      <c r="Y859" s="2"/>
      <c r="Z859" s="2"/>
      <c r="AA859" s="2"/>
      <c r="AB859" s="2"/>
      <c r="AC859" s="2"/>
      <c r="AD859" s="2"/>
      <c r="AE859" s="2"/>
      <c r="AF859" s="2"/>
      <c r="AG859" s="2"/>
      <c r="AH859" s="2"/>
      <c r="AI859" s="2"/>
      <c r="AJ859" s="2"/>
      <c r="AK859" s="2"/>
      <c r="AL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3"/>
      <c r="Y860" s="2"/>
      <c r="Z860" s="2"/>
      <c r="AA860" s="2"/>
      <c r="AB860" s="2"/>
      <c r="AC860" s="2"/>
      <c r="AD860" s="2"/>
      <c r="AE860" s="2"/>
      <c r="AF860" s="2"/>
      <c r="AG860" s="2"/>
      <c r="AH860" s="2"/>
      <c r="AI860" s="2"/>
      <c r="AJ860" s="2"/>
      <c r="AK860" s="2"/>
      <c r="AL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3"/>
      <c r="Y861" s="2"/>
      <c r="Z861" s="2"/>
      <c r="AA861" s="2"/>
      <c r="AB861" s="2"/>
      <c r="AC861" s="2"/>
      <c r="AD861" s="2"/>
      <c r="AE861" s="2"/>
      <c r="AF861" s="2"/>
      <c r="AG861" s="2"/>
      <c r="AH861" s="2"/>
      <c r="AI861" s="2"/>
      <c r="AJ861" s="2"/>
      <c r="AK861" s="2"/>
      <c r="AL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3"/>
      <c r="Y862" s="2"/>
      <c r="Z862" s="2"/>
      <c r="AA862" s="2"/>
      <c r="AB862" s="2"/>
      <c r="AC862" s="2"/>
      <c r="AD862" s="2"/>
      <c r="AE862" s="2"/>
      <c r="AF862" s="2"/>
      <c r="AG862" s="2"/>
      <c r="AH862" s="2"/>
      <c r="AI862" s="2"/>
      <c r="AJ862" s="2"/>
      <c r="AK862" s="2"/>
      <c r="AL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3"/>
      <c r="Y863" s="2"/>
      <c r="Z863" s="2"/>
      <c r="AA863" s="2"/>
      <c r="AB863" s="2"/>
      <c r="AC863" s="2"/>
      <c r="AD863" s="2"/>
      <c r="AE863" s="2"/>
      <c r="AF863" s="2"/>
      <c r="AG863" s="2"/>
      <c r="AH863" s="2"/>
      <c r="AI863" s="2"/>
      <c r="AJ863" s="2"/>
      <c r="AK863" s="2"/>
      <c r="AL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3"/>
      <c r="Y864" s="2"/>
      <c r="Z864" s="2"/>
      <c r="AA864" s="2"/>
      <c r="AB864" s="2"/>
      <c r="AC864" s="2"/>
      <c r="AD864" s="2"/>
      <c r="AE864" s="2"/>
      <c r="AF864" s="2"/>
      <c r="AG864" s="2"/>
      <c r="AH864" s="2"/>
      <c r="AI864" s="2"/>
      <c r="AJ864" s="2"/>
      <c r="AK864" s="2"/>
      <c r="AL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3"/>
      <c r="Y865" s="2"/>
      <c r="Z865" s="2"/>
      <c r="AA865" s="2"/>
      <c r="AB865" s="2"/>
      <c r="AC865" s="2"/>
      <c r="AD865" s="2"/>
      <c r="AE865" s="2"/>
      <c r="AF865" s="2"/>
      <c r="AG865" s="2"/>
      <c r="AH865" s="2"/>
      <c r="AI865" s="2"/>
      <c r="AJ865" s="2"/>
      <c r="AK865" s="2"/>
      <c r="AL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3"/>
      <c r="Y866" s="2"/>
      <c r="Z866" s="2"/>
      <c r="AA866" s="2"/>
      <c r="AB866" s="2"/>
      <c r="AC866" s="2"/>
      <c r="AD866" s="2"/>
      <c r="AE866" s="2"/>
      <c r="AF866" s="2"/>
      <c r="AG866" s="2"/>
      <c r="AH866" s="2"/>
      <c r="AI866" s="2"/>
      <c r="AJ866" s="2"/>
      <c r="AK866" s="2"/>
      <c r="AL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3"/>
      <c r="Y867" s="2"/>
      <c r="Z867" s="2"/>
      <c r="AA867" s="2"/>
      <c r="AB867" s="2"/>
      <c r="AC867" s="2"/>
      <c r="AD867" s="2"/>
      <c r="AE867" s="2"/>
      <c r="AF867" s="2"/>
      <c r="AG867" s="2"/>
      <c r="AH867" s="2"/>
      <c r="AI867" s="2"/>
      <c r="AJ867" s="2"/>
      <c r="AK867" s="2"/>
      <c r="AL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3"/>
      <c r="Y868" s="2"/>
      <c r="Z868" s="2"/>
      <c r="AA868" s="2"/>
      <c r="AB868" s="2"/>
      <c r="AC868" s="2"/>
      <c r="AD868" s="2"/>
      <c r="AE868" s="2"/>
      <c r="AF868" s="2"/>
      <c r="AG868" s="2"/>
      <c r="AH868" s="2"/>
      <c r="AI868" s="2"/>
      <c r="AJ868" s="2"/>
      <c r="AK868" s="2"/>
      <c r="AL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3"/>
      <c r="Y869" s="2"/>
      <c r="Z869" s="2"/>
      <c r="AA869" s="2"/>
      <c r="AB869" s="2"/>
      <c r="AC869" s="2"/>
      <c r="AD869" s="2"/>
      <c r="AE869" s="2"/>
      <c r="AF869" s="2"/>
      <c r="AG869" s="2"/>
      <c r="AH869" s="2"/>
      <c r="AI869" s="2"/>
      <c r="AJ869" s="2"/>
      <c r="AK869" s="2"/>
      <c r="AL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3"/>
      <c r="Y870" s="2"/>
      <c r="Z870" s="2"/>
      <c r="AA870" s="2"/>
      <c r="AB870" s="2"/>
      <c r="AC870" s="2"/>
      <c r="AD870" s="2"/>
      <c r="AE870" s="2"/>
      <c r="AF870" s="2"/>
      <c r="AG870" s="2"/>
      <c r="AH870" s="2"/>
      <c r="AI870" s="2"/>
      <c r="AJ870" s="2"/>
      <c r="AK870" s="2"/>
      <c r="AL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3"/>
      <c r="Y871" s="2"/>
      <c r="Z871" s="2"/>
      <c r="AA871" s="2"/>
      <c r="AB871" s="2"/>
      <c r="AC871" s="2"/>
      <c r="AD871" s="2"/>
      <c r="AE871" s="2"/>
      <c r="AF871" s="2"/>
      <c r="AG871" s="2"/>
      <c r="AH871" s="2"/>
      <c r="AI871" s="2"/>
      <c r="AJ871" s="2"/>
      <c r="AK871" s="2"/>
      <c r="AL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3"/>
      <c r="Y872" s="2"/>
      <c r="Z872" s="2"/>
      <c r="AA872" s="2"/>
      <c r="AB872" s="2"/>
      <c r="AC872" s="2"/>
      <c r="AD872" s="2"/>
      <c r="AE872" s="2"/>
      <c r="AF872" s="2"/>
      <c r="AG872" s="2"/>
      <c r="AH872" s="2"/>
      <c r="AI872" s="2"/>
      <c r="AJ872" s="2"/>
      <c r="AK872" s="2"/>
      <c r="AL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3"/>
      <c r="Y873" s="2"/>
      <c r="Z873" s="2"/>
      <c r="AA873" s="2"/>
      <c r="AB873" s="2"/>
      <c r="AC873" s="2"/>
      <c r="AD873" s="2"/>
      <c r="AE873" s="2"/>
      <c r="AF873" s="2"/>
      <c r="AG873" s="2"/>
      <c r="AH873" s="2"/>
      <c r="AI873" s="2"/>
      <c r="AJ873" s="2"/>
      <c r="AK873" s="2"/>
      <c r="AL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3"/>
      <c r="Y874" s="2"/>
      <c r="Z874" s="2"/>
      <c r="AA874" s="2"/>
      <c r="AB874" s="2"/>
      <c r="AC874" s="2"/>
      <c r="AD874" s="2"/>
      <c r="AE874" s="2"/>
      <c r="AF874" s="2"/>
      <c r="AG874" s="2"/>
      <c r="AH874" s="2"/>
      <c r="AI874" s="2"/>
      <c r="AJ874" s="2"/>
      <c r="AK874" s="2"/>
      <c r="AL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3"/>
      <c r="Y875" s="2"/>
      <c r="Z875" s="2"/>
      <c r="AA875" s="2"/>
      <c r="AB875" s="2"/>
      <c r="AC875" s="2"/>
      <c r="AD875" s="2"/>
      <c r="AE875" s="2"/>
      <c r="AF875" s="2"/>
      <c r="AG875" s="2"/>
      <c r="AH875" s="2"/>
      <c r="AI875" s="2"/>
      <c r="AJ875" s="2"/>
      <c r="AK875" s="2"/>
      <c r="AL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3"/>
      <c r="Y876" s="2"/>
      <c r="Z876" s="2"/>
      <c r="AA876" s="2"/>
      <c r="AB876" s="2"/>
      <c r="AC876" s="2"/>
      <c r="AD876" s="2"/>
      <c r="AE876" s="2"/>
      <c r="AF876" s="2"/>
      <c r="AG876" s="2"/>
      <c r="AH876" s="2"/>
      <c r="AI876" s="2"/>
      <c r="AJ876" s="2"/>
      <c r="AK876" s="2"/>
      <c r="AL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3"/>
      <c r="Y877" s="2"/>
      <c r="Z877" s="2"/>
      <c r="AA877" s="2"/>
      <c r="AB877" s="2"/>
      <c r="AC877" s="2"/>
      <c r="AD877" s="2"/>
      <c r="AE877" s="2"/>
      <c r="AF877" s="2"/>
      <c r="AG877" s="2"/>
      <c r="AH877" s="2"/>
      <c r="AI877" s="2"/>
      <c r="AJ877" s="2"/>
      <c r="AK877" s="2"/>
      <c r="AL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3"/>
      <c r="Y878" s="2"/>
      <c r="Z878" s="2"/>
      <c r="AA878" s="2"/>
      <c r="AB878" s="2"/>
      <c r="AC878" s="2"/>
      <c r="AD878" s="2"/>
      <c r="AE878" s="2"/>
      <c r="AF878" s="2"/>
      <c r="AG878" s="2"/>
      <c r="AH878" s="2"/>
      <c r="AI878" s="2"/>
      <c r="AJ878" s="2"/>
      <c r="AK878" s="2"/>
      <c r="AL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3"/>
      <c r="Y879" s="2"/>
      <c r="Z879" s="2"/>
      <c r="AA879" s="2"/>
      <c r="AB879" s="2"/>
      <c r="AC879" s="2"/>
      <c r="AD879" s="2"/>
      <c r="AE879" s="2"/>
      <c r="AF879" s="2"/>
      <c r="AG879" s="2"/>
      <c r="AH879" s="2"/>
      <c r="AI879" s="2"/>
      <c r="AJ879" s="2"/>
      <c r="AK879" s="2"/>
      <c r="AL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3"/>
      <c r="Y880" s="2"/>
      <c r="Z880" s="2"/>
      <c r="AA880" s="2"/>
      <c r="AB880" s="2"/>
      <c r="AC880" s="2"/>
      <c r="AD880" s="2"/>
      <c r="AE880" s="2"/>
      <c r="AF880" s="2"/>
      <c r="AG880" s="2"/>
      <c r="AH880" s="2"/>
      <c r="AI880" s="2"/>
      <c r="AJ880" s="2"/>
      <c r="AK880" s="2"/>
      <c r="AL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3"/>
      <c r="Y881" s="2"/>
      <c r="Z881" s="2"/>
      <c r="AA881" s="2"/>
      <c r="AB881" s="2"/>
      <c r="AC881" s="2"/>
      <c r="AD881" s="2"/>
      <c r="AE881" s="2"/>
      <c r="AF881" s="2"/>
      <c r="AG881" s="2"/>
      <c r="AH881" s="2"/>
      <c r="AI881" s="2"/>
      <c r="AJ881" s="2"/>
      <c r="AK881" s="2"/>
      <c r="AL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3"/>
      <c r="Y882" s="2"/>
      <c r="Z882" s="2"/>
      <c r="AA882" s="2"/>
      <c r="AB882" s="2"/>
      <c r="AC882" s="2"/>
      <c r="AD882" s="2"/>
      <c r="AE882" s="2"/>
      <c r="AF882" s="2"/>
      <c r="AG882" s="2"/>
      <c r="AH882" s="2"/>
      <c r="AI882" s="2"/>
      <c r="AJ882" s="2"/>
      <c r="AK882" s="2"/>
      <c r="AL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3"/>
      <c r="Y883" s="2"/>
      <c r="Z883" s="2"/>
      <c r="AA883" s="2"/>
      <c r="AB883" s="2"/>
      <c r="AC883" s="2"/>
      <c r="AD883" s="2"/>
      <c r="AE883" s="2"/>
      <c r="AF883" s="2"/>
      <c r="AG883" s="2"/>
      <c r="AH883" s="2"/>
      <c r="AI883" s="2"/>
      <c r="AJ883" s="2"/>
      <c r="AK883" s="2"/>
      <c r="AL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3"/>
      <c r="Y884" s="2"/>
      <c r="Z884" s="2"/>
      <c r="AA884" s="2"/>
      <c r="AB884" s="2"/>
      <c r="AC884" s="2"/>
      <c r="AD884" s="2"/>
      <c r="AE884" s="2"/>
      <c r="AF884" s="2"/>
      <c r="AG884" s="2"/>
      <c r="AH884" s="2"/>
      <c r="AI884" s="2"/>
      <c r="AJ884" s="2"/>
      <c r="AK884" s="2"/>
      <c r="AL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3"/>
      <c r="Y885" s="2"/>
      <c r="Z885" s="2"/>
      <c r="AA885" s="2"/>
      <c r="AB885" s="2"/>
      <c r="AC885" s="2"/>
      <c r="AD885" s="2"/>
      <c r="AE885" s="2"/>
      <c r="AF885" s="2"/>
      <c r="AG885" s="2"/>
      <c r="AH885" s="2"/>
      <c r="AI885" s="2"/>
      <c r="AJ885" s="2"/>
      <c r="AK885" s="2"/>
      <c r="AL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3"/>
      <c r="Y886" s="2"/>
      <c r="Z886" s="2"/>
      <c r="AA886" s="2"/>
      <c r="AB886" s="2"/>
      <c r="AC886" s="2"/>
      <c r="AD886" s="2"/>
      <c r="AE886" s="2"/>
      <c r="AF886" s="2"/>
      <c r="AG886" s="2"/>
      <c r="AH886" s="2"/>
      <c r="AI886" s="2"/>
      <c r="AJ886" s="2"/>
      <c r="AK886" s="2"/>
      <c r="AL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3"/>
      <c r="Y887" s="2"/>
      <c r="Z887" s="2"/>
      <c r="AA887" s="2"/>
      <c r="AB887" s="2"/>
      <c r="AC887" s="2"/>
      <c r="AD887" s="2"/>
      <c r="AE887" s="2"/>
      <c r="AF887" s="2"/>
      <c r="AG887" s="2"/>
      <c r="AH887" s="2"/>
      <c r="AI887" s="2"/>
      <c r="AJ887" s="2"/>
      <c r="AK887" s="2"/>
      <c r="AL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3"/>
      <c r="Y888" s="2"/>
      <c r="Z888" s="2"/>
      <c r="AA888" s="2"/>
      <c r="AB888" s="2"/>
      <c r="AC888" s="2"/>
      <c r="AD888" s="2"/>
      <c r="AE888" s="2"/>
      <c r="AF888" s="2"/>
      <c r="AG888" s="2"/>
      <c r="AH888" s="2"/>
      <c r="AI888" s="2"/>
      <c r="AJ888" s="2"/>
      <c r="AK888" s="2"/>
      <c r="AL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3"/>
      <c r="Y889" s="2"/>
      <c r="Z889" s="2"/>
      <c r="AA889" s="2"/>
      <c r="AB889" s="2"/>
      <c r="AC889" s="2"/>
      <c r="AD889" s="2"/>
      <c r="AE889" s="2"/>
      <c r="AF889" s="2"/>
      <c r="AG889" s="2"/>
      <c r="AH889" s="2"/>
      <c r="AI889" s="2"/>
      <c r="AJ889" s="2"/>
      <c r="AK889" s="2"/>
      <c r="AL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3"/>
      <c r="Y890" s="2"/>
      <c r="Z890" s="2"/>
      <c r="AA890" s="2"/>
      <c r="AB890" s="2"/>
      <c r="AC890" s="2"/>
      <c r="AD890" s="2"/>
      <c r="AE890" s="2"/>
      <c r="AF890" s="2"/>
      <c r="AG890" s="2"/>
      <c r="AH890" s="2"/>
      <c r="AI890" s="2"/>
      <c r="AJ890" s="2"/>
      <c r="AK890" s="2"/>
      <c r="AL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3"/>
      <c r="Y891" s="2"/>
      <c r="Z891" s="2"/>
      <c r="AA891" s="2"/>
      <c r="AB891" s="2"/>
      <c r="AC891" s="2"/>
      <c r="AD891" s="2"/>
      <c r="AE891" s="2"/>
      <c r="AF891" s="2"/>
      <c r="AG891" s="2"/>
      <c r="AH891" s="2"/>
      <c r="AI891" s="2"/>
      <c r="AJ891" s="2"/>
      <c r="AK891" s="2"/>
      <c r="AL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3"/>
      <c r="Y892" s="2"/>
      <c r="Z892" s="2"/>
      <c r="AA892" s="2"/>
      <c r="AB892" s="2"/>
      <c r="AC892" s="2"/>
      <c r="AD892" s="2"/>
      <c r="AE892" s="2"/>
      <c r="AF892" s="2"/>
      <c r="AG892" s="2"/>
      <c r="AH892" s="2"/>
      <c r="AI892" s="2"/>
      <c r="AJ892" s="2"/>
      <c r="AK892" s="2"/>
      <c r="AL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3"/>
      <c r="Y893" s="2"/>
      <c r="Z893" s="2"/>
      <c r="AA893" s="2"/>
      <c r="AB893" s="2"/>
      <c r="AC893" s="2"/>
      <c r="AD893" s="2"/>
      <c r="AE893" s="2"/>
      <c r="AF893" s="2"/>
      <c r="AG893" s="2"/>
      <c r="AH893" s="2"/>
      <c r="AI893" s="2"/>
      <c r="AJ893" s="2"/>
      <c r="AK893" s="2"/>
      <c r="AL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3"/>
      <c r="Y894" s="2"/>
      <c r="Z894" s="2"/>
      <c r="AA894" s="2"/>
      <c r="AB894" s="2"/>
      <c r="AC894" s="2"/>
      <c r="AD894" s="2"/>
      <c r="AE894" s="2"/>
      <c r="AF894" s="2"/>
      <c r="AG894" s="2"/>
      <c r="AH894" s="2"/>
      <c r="AI894" s="2"/>
      <c r="AJ894" s="2"/>
      <c r="AK894" s="2"/>
      <c r="AL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3"/>
      <c r="Y895" s="2"/>
      <c r="Z895" s="2"/>
      <c r="AA895" s="2"/>
      <c r="AB895" s="2"/>
      <c r="AC895" s="2"/>
      <c r="AD895" s="2"/>
      <c r="AE895" s="2"/>
      <c r="AF895" s="2"/>
      <c r="AG895" s="2"/>
      <c r="AH895" s="2"/>
      <c r="AI895" s="2"/>
      <c r="AJ895" s="2"/>
      <c r="AK895" s="2"/>
      <c r="AL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3"/>
      <c r="Y896" s="2"/>
      <c r="Z896" s="2"/>
      <c r="AA896" s="2"/>
      <c r="AB896" s="2"/>
      <c r="AC896" s="2"/>
      <c r="AD896" s="2"/>
      <c r="AE896" s="2"/>
      <c r="AF896" s="2"/>
      <c r="AG896" s="2"/>
      <c r="AH896" s="2"/>
      <c r="AI896" s="2"/>
      <c r="AJ896" s="2"/>
      <c r="AK896" s="2"/>
      <c r="AL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3"/>
      <c r="Y897" s="2"/>
      <c r="Z897" s="2"/>
      <c r="AA897" s="2"/>
      <c r="AB897" s="2"/>
      <c r="AC897" s="2"/>
      <c r="AD897" s="2"/>
      <c r="AE897" s="2"/>
      <c r="AF897" s="2"/>
      <c r="AG897" s="2"/>
      <c r="AH897" s="2"/>
      <c r="AI897" s="2"/>
      <c r="AJ897" s="2"/>
      <c r="AK897" s="2"/>
      <c r="AL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3"/>
      <c r="Y898" s="2"/>
      <c r="Z898" s="2"/>
      <c r="AA898" s="2"/>
      <c r="AB898" s="2"/>
      <c r="AC898" s="2"/>
      <c r="AD898" s="2"/>
      <c r="AE898" s="2"/>
      <c r="AF898" s="2"/>
      <c r="AG898" s="2"/>
      <c r="AH898" s="2"/>
      <c r="AI898" s="2"/>
      <c r="AJ898" s="2"/>
      <c r="AK898" s="2"/>
      <c r="AL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3"/>
      <c r="Y899" s="2"/>
      <c r="Z899" s="2"/>
      <c r="AA899" s="2"/>
      <c r="AB899" s="2"/>
      <c r="AC899" s="2"/>
      <c r="AD899" s="2"/>
      <c r="AE899" s="2"/>
      <c r="AF899" s="2"/>
      <c r="AG899" s="2"/>
      <c r="AH899" s="2"/>
      <c r="AI899" s="2"/>
      <c r="AJ899" s="2"/>
      <c r="AK899" s="2"/>
      <c r="AL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3"/>
      <c r="Y900" s="2"/>
      <c r="Z900" s="2"/>
      <c r="AA900" s="2"/>
      <c r="AB900" s="2"/>
      <c r="AC900" s="2"/>
      <c r="AD900" s="2"/>
      <c r="AE900" s="2"/>
      <c r="AF900" s="2"/>
      <c r="AG900" s="2"/>
      <c r="AH900" s="2"/>
      <c r="AI900" s="2"/>
      <c r="AJ900" s="2"/>
      <c r="AK900" s="2"/>
      <c r="AL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3"/>
      <c r="Y901" s="2"/>
      <c r="Z901" s="2"/>
      <c r="AA901" s="2"/>
      <c r="AB901" s="2"/>
      <c r="AC901" s="2"/>
      <c r="AD901" s="2"/>
      <c r="AE901" s="2"/>
      <c r="AF901" s="2"/>
      <c r="AG901" s="2"/>
      <c r="AH901" s="2"/>
      <c r="AI901" s="2"/>
      <c r="AJ901" s="2"/>
      <c r="AK901" s="2"/>
      <c r="AL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3"/>
      <c r="Y902" s="2"/>
      <c r="Z902" s="2"/>
      <c r="AA902" s="2"/>
      <c r="AB902" s="2"/>
      <c r="AC902" s="2"/>
      <c r="AD902" s="2"/>
      <c r="AE902" s="2"/>
      <c r="AF902" s="2"/>
      <c r="AG902" s="2"/>
      <c r="AH902" s="2"/>
      <c r="AI902" s="2"/>
      <c r="AJ902" s="2"/>
      <c r="AK902" s="2"/>
      <c r="AL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3"/>
      <c r="Y903" s="2"/>
      <c r="Z903" s="2"/>
      <c r="AA903" s="2"/>
      <c r="AB903" s="2"/>
      <c r="AC903" s="2"/>
      <c r="AD903" s="2"/>
      <c r="AE903" s="2"/>
      <c r="AF903" s="2"/>
      <c r="AG903" s="2"/>
      <c r="AH903" s="2"/>
      <c r="AI903" s="2"/>
      <c r="AJ903" s="2"/>
      <c r="AK903" s="2"/>
      <c r="AL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3"/>
      <c r="Y904" s="2"/>
      <c r="Z904" s="2"/>
      <c r="AA904" s="2"/>
      <c r="AB904" s="2"/>
      <c r="AC904" s="2"/>
      <c r="AD904" s="2"/>
      <c r="AE904" s="2"/>
      <c r="AF904" s="2"/>
      <c r="AG904" s="2"/>
      <c r="AH904" s="2"/>
      <c r="AI904" s="2"/>
      <c r="AJ904" s="2"/>
      <c r="AK904" s="2"/>
      <c r="AL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3"/>
      <c r="Y905" s="2"/>
      <c r="Z905" s="2"/>
      <c r="AA905" s="2"/>
      <c r="AB905" s="2"/>
      <c r="AC905" s="2"/>
      <c r="AD905" s="2"/>
      <c r="AE905" s="2"/>
      <c r="AF905" s="2"/>
      <c r="AG905" s="2"/>
      <c r="AH905" s="2"/>
      <c r="AI905" s="2"/>
      <c r="AJ905" s="2"/>
      <c r="AK905" s="2"/>
      <c r="AL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3"/>
      <c r="Y906" s="2"/>
      <c r="Z906" s="2"/>
      <c r="AA906" s="2"/>
      <c r="AB906" s="2"/>
      <c r="AC906" s="2"/>
      <c r="AD906" s="2"/>
      <c r="AE906" s="2"/>
      <c r="AF906" s="2"/>
      <c r="AG906" s="2"/>
      <c r="AH906" s="2"/>
      <c r="AI906" s="2"/>
      <c r="AJ906" s="2"/>
      <c r="AK906" s="2"/>
      <c r="AL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3"/>
      <c r="Y907" s="2"/>
      <c r="Z907" s="2"/>
      <c r="AA907" s="2"/>
      <c r="AB907" s="2"/>
      <c r="AC907" s="2"/>
      <c r="AD907" s="2"/>
      <c r="AE907" s="2"/>
      <c r="AF907" s="2"/>
      <c r="AG907" s="2"/>
      <c r="AH907" s="2"/>
      <c r="AI907" s="2"/>
      <c r="AJ907" s="2"/>
      <c r="AK907" s="2"/>
      <c r="AL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3"/>
      <c r="Y908" s="2"/>
      <c r="Z908" s="2"/>
      <c r="AA908" s="2"/>
      <c r="AB908" s="2"/>
      <c r="AC908" s="2"/>
      <c r="AD908" s="2"/>
      <c r="AE908" s="2"/>
      <c r="AF908" s="2"/>
      <c r="AG908" s="2"/>
      <c r="AH908" s="2"/>
      <c r="AI908" s="2"/>
      <c r="AJ908" s="2"/>
      <c r="AK908" s="2"/>
      <c r="AL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3"/>
      <c r="Y909" s="2"/>
      <c r="Z909" s="2"/>
      <c r="AA909" s="2"/>
      <c r="AB909" s="2"/>
      <c r="AC909" s="2"/>
      <c r="AD909" s="2"/>
      <c r="AE909" s="2"/>
      <c r="AF909" s="2"/>
      <c r="AG909" s="2"/>
      <c r="AH909" s="2"/>
      <c r="AI909" s="2"/>
      <c r="AJ909" s="2"/>
      <c r="AK909" s="2"/>
      <c r="AL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3"/>
      <c r="Y910" s="2"/>
      <c r="Z910" s="2"/>
      <c r="AA910" s="2"/>
      <c r="AB910" s="2"/>
      <c r="AC910" s="2"/>
      <c r="AD910" s="2"/>
      <c r="AE910" s="2"/>
      <c r="AF910" s="2"/>
      <c r="AG910" s="2"/>
      <c r="AH910" s="2"/>
      <c r="AI910" s="2"/>
      <c r="AJ910" s="2"/>
      <c r="AK910" s="2"/>
      <c r="AL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3"/>
      <c r="Y911" s="2"/>
      <c r="Z911" s="2"/>
      <c r="AA911" s="2"/>
      <c r="AB911" s="2"/>
      <c r="AC911" s="2"/>
      <c r="AD911" s="2"/>
      <c r="AE911" s="2"/>
      <c r="AF911" s="2"/>
      <c r="AG911" s="2"/>
      <c r="AH911" s="2"/>
      <c r="AI911" s="2"/>
      <c r="AJ911" s="2"/>
      <c r="AK911" s="2"/>
      <c r="AL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3"/>
      <c r="Y912" s="2"/>
      <c r="Z912" s="2"/>
      <c r="AA912" s="2"/>
      <c r="AB912" s="2"/>
      <c r="AC912" s="2"/>
      <c r="AD912" s="2"/>
      <c r="AE912" s="2"/>
      <c r="AF912" s="2"/>
      <c r="AG912" s="2"/>
      <c r="AH912" s="2"/>
      <c r="AI912" s="2"/>
      <c r="AJ912" s="2"/>
      <c r="AK912" s="2"/>
      <c r="AL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3"/>
      <c r="Y913" s="2"/>
      <c r="Z913" s="2"/>
      <c r="AA913" s="2"/>
      <c r="AB913" s="2"/>
      <c r="AC913" s="2"/>
      <c r="AD913" s="2"/>
      <c r="AE913" s="2"/>
      <c r="AF913" s="2"/>
      <c r="AG913" s="2"/>
      <c r="AH913" s="2"/>
      <c r="AI913" s="2"/>
      <c r="AJ913" s="2"/>
      <c r="AK913" s="2"/>
      <c r="AL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3"/>
      <c r="Y914" s="2"/>
      <c r="Z914" s="2"/>
      <c r="AA914" s="2"/>
      <c r="AB914" s="2"/>
      <c r="AC914" s="2"/>
      <c r="AD914" s="2"/>
      <c r="AE914" s="2"/>
      <c r="AF914" s="2"/>
      <c r="AG914" s="2"/>
      <c r="AH914" s="2"/>
      <c r="AI914" s="2"/>
      <c r="AJ914" s="2"/>
      <c r="AK914" s="2"/>
      <c r="AL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3"/>
      <c r="Y915" s="2"/>
      <c r="Z915" s="2"/>
      <c r="AA915" s="2"/>
      <c r="AB915" s="2"/>
      <c r="AC915" s="2"/>
      <c r="AD915" s="2"/>
      <c r="AE915" s="2"/>
      <c r="AF915" s="2"/>
      <c r="AG915" s="2"/>
      <c r="AH915" s="2"/>
      <c r="AI915" s="2"/>
      <c r="AJ915" s="2"/>
      <c r="AK915" s="2"/>
      <c r="AL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3"/>
      <c r="Y916" s="2"/>
      <c r="Z916" s="2"/>
      <c r="AA916" s="2"/>
      <c r="AB916" s="2"/>
      <c r="AC916" s="2"/>
      <c r="AD916" s="2"/>
      <c r="AE916" s="2"/>
      <c r="AF916" s="2"/>
      <c r="AG916" s="2"/>
      <c r="AH916" s="2"/>
      <c r="AI916" s="2"/>
      <c r="AJ916" s="2"/>
      <c r="AK916" s="2"/>
      <c r="AL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3"/>
      <c r="Y917" s="2"/>
      <c r="Z917" s="2"/>
      <c r="AA917" s="2"/>
      <c r="AB917" s="2"/>
      <c r="AC917" s="2"/>
      <c r="AD917" s="2"/>
      <c r="AE917" s="2"/>
      <c r="AF917" s="2"/>
      <c r="AG917" s="2"/>
      <c r="AH917" s="2"/>
      <c r="AI917" s="2"/>
      <c r="AJ917" s="2"/>
      <c r="AK917" s="2"/>
      <c r="AL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3"/>
      <c r="Y918" s="2"/>
      <c r="Z918" s="2"/>
      <c r="AA918" s="2"/>
      <c r="AB918" s="2"/>
      <c r="AC918" s="2"/>
      <c r="AD918" s="2"/>
      <c r="AE918" s="2"/>
      <c r="AF918" s="2"/>
      <c r="AG918" s="2"/>
      <c r="AH918" s="2"/>
      <c r="AI918" s="2"/>
      <c r="AJ918" s="2"/>
      <c r="AK918" s="2"/>
      <c r="AL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3"/>
      <c r="Y919" s="2"/>
      <c r="Z919" s="2"/>
      <c r="AA919" s="2"/>
      <c r="AB919" s="2"/>
      <c r="AC919" s="2"/>
      <c r="AD919" s="2"/>
      <c r="AE919" s="2"/>
      <c r="AF919" s="2"/>
      <c r="AG919" s="2"/>
      <c r="AH919" s="2"/>
      <c r="AI919" s="2"/>
      <c r="AJ919" s="2"/>
      <c r="AK919" s="2"/>
      <c r="AL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3"/>
      <c r="Y920" s="2"/>
      <c r="Z920" s="2"/>
      <c r="AA920" s="2"/>
      <c r="AB920" s="2"/>
      <c r="AC920" s="2"/>
      <c r="AD920" s="2"/>
      <c r="AE920" s="2"/>
      <c r="AF920" s="2"/>
      <c r="AG920" s="2"/>
      <c r="AH920" s="2"/>
      <c r="AI920" s="2"/>
      <c r="AJ920" s="2"/>
      <c r="AK920" s="2"/>
      <c r="AL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3"/>
      <c r="Y921" s="2"/>
      <c r="Z921" s="2"/>
      <c r="AA921" s="2"/>
      <c r="AB921" s="2"/>
      <c r="AC921" s="2"/>
      <c r="AD921" s="2"/>
      <c r="AE921" s="2"/>
      <c r="AF921" s="2"/>
      <c r="AG921" s="2"/>
      <c r="AH921" s="2"/>
      <c r="AI921" s="2"/>
      <c r="AJ921" s="2"/>
      <c r="AK921" s="2"/>
      <c r="AL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3"/>
      <c r="Y922" s="2"/>
      <c r="Z922" s="2"/>
      <c r="AA922" s="2"/>
      <c r="AB922" s="2"/>
      <c r="AC922" s="2"/>
      <c r="AD922" s="2"/>
      <c r="AE922" s="2"/>
      <c r="AF922" s="2"/>
      <c r="AG922" s="2"/>
      <c r="AH922" s="2"/>
      <c r="AI922" s="2"/>
      <c r="AJ922" s="2"/>
      <c r="AK922" s="2"/>
      <c r="AL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3"/>
      <c r="Y923" s="2"/>
      <c r="Z923" s="2"/>
      <c r="AA923" s="2"/>
      <c r="AB923" s="2"/>
      <c r="AC923" s="2"/>
      <c r="AD923" s="2"/>
      <c r="AE923" s="2"/>
      <c r="AF923" s="2"/>
      <c r="AG923" s="2"/>
      <c r="AH923" s="2"/>
      <c r="AI923" s="2"/>
      <c r="AJ923" s="2"/>
      <c r="AK923" s="2"/>
      <c r="AL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3"/>
      <c r="Y924" s="2"/>
      <c r="Z924" s="2"/>
      <c r="AA924" s="2"/>
      <c r="AB924" s="2"/>
      <c r="AC924" s="2"/>
      <c r="AD924" s="2"/>
      <c r="AE924" s="2"/>
      <c r="AF924" s="2"/>
      <c r="AG924" s="2"/>
      <c r="AH924" s="2"/>
      <c r="AI924" s="2"/>
      <c r="AJ924" s="2"/>
      <c r="AK924" s="2"/>
      <c r="AL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3"/>
      <c r="Y925" s="2"/>
      <c r="Z925" s="2"/>
      <c r="AA925" s="2"/>
      <c r="AB925" s="2"/>
      <c r="AC925" s="2"/>
      <c r="AD925" s="2"/>
      <c r="AE925" s="2"/>
      <c r="AF925" s="2"/>
      <c r="AG925" s="2"/>
      <c r="AH925" s="2"/>
      <c r="AI925" s="2"/>
      <c r="AJ925" s="2"/>
      <c r="AK925" s="2"/>
      <c r="AL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3"/>
      <c r="Y926" s="2"/>
      <c r="Z926" s="2"/>
      <c r="AA926" s="2"/>
      <c r="AB926" s="2"/>
      <c r="AC926" s="2"/>
      <c r="AD926" s="2"/>
      <c r="AE926" s="2"/>
      <c r="AF926" s="2"/>
      <c r="AG926" s="2"/>
      <c r="AH926" s="2"/>
      <c r="AI926" s="2"/>
      <c r="AJ926" s="2"/>
      <c r="AK926" s="2"/>
      <c r="AL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3"/>
      <c r="Y927" s="2"/>
      <c r="Z927" s="2"/>
      <c r="AA927" s="2"/>
      <c r="AB927" s="2"/>
      <c r="AC927" s="2"/>
      <c r="AD927" s="2"/>
      <c r="AE927" s="2"/>
      <c r="AF927" s="2"/>
      <c r="AG927" s="2"/>
      <c r="AH927" s="2"/>
      <c r="AI927" s="2"/>
      <c r="AJ927" s="2"/>
      <c r="AK927" s="2"/>
      <c r="AL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3"/>
      <c r="Y928" s="2"/>
      <c r="Z928" s="2"/>
      <c r="AA928" s="2"/>
      <c r="AB928" s="2"/>
      <c r="AC928" s="2"/>
      <c r="AD928" s="2"/>
      <c r="AE928" s="2"/>
      <c r="AF928" s="2"/>
      <c r="AG928" s="2"/>
      <c r="AH928" s="2"/>
      <c r="AI928" s="2"/>
      <c r="AJ928" s="2"/>
      <c r="AK928" s="2"/>
      <c r="AL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3"/>
      <c r="Y929" s="2"/>
      <c r="Z929" s="2"/>
      <c r="AA929" s="2"/>
      <c r="AB929" s="2"/>
      <c r="AC929" s="2"/>
      <c r="AD929" s="2"/>
      <c r="AE929" s="2"/>
      <c r="AF929" s="2"/>
      <c r="AG929" s="2"/>
      <c r="AH929" s="2"/>
      <c r="AI929" s="2"/>
      <c r="AJ929" s="2"/>
      <c r="AK929" s="2"/>
      <c r="AL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3"/>
      <c r="Y930" s="2"/>
      <c r="Z930" s="2"/>
      <c r="AA930" s="2"/>
      <c r="AB930" s="2"/>
      <c r="AC930" s="2"/>
      <c r="AD930" s="2"/>
      <c r="AE930" s="2"/>
      <c r="AF930" s="2"/>
      <c r="AG930" s="2"/>
      <c r="AH930" s="2"/>
      <c r="AI930" s="2"/>
      <c r="AJ930" s="2"/>
      <c r="AK930" s="2"/>
      <c r="AL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3"/>
      <c r="Y931" s="2"/>
      <c r="Z931" s="2"/>
      <c r="AA931" s="2"/>
      <c r="AB931" s="2"/>
      <c r="AC931" s="2"/>
      <c r="AD931" s="2"/>
      <c r="AE931" s="2"/>
      <c r="AF931" s="2"/>
      <c r="AG931" s="2"/>
      <c r="AH931" s="2"/>
      <c r="AI931" s="2"/>
      <c r="AJ931" s="2"/>
      <c r="AK931" s="2"/>
      <c r="AL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3"/>
      <c r="Y932" s="2"/>
      <c r="Z932" s="2"/>
      <c r="AA932" s="2"/>
      <c r="AB932" s="2"/>
      <c r="AC932" s="2"/>
      <c r="AD932" s="2"/>
      <c r="AE932" s="2"/>
      <c r="AF932" s="2"/>
      <c r="AG932" s="2"/>
      <c r="AH932" s="2"/>
      <c r="AI932" s="2"/>
      <c r="AJ932" s="2"/>
      <c r="AK932" s="2"/>
      <c r="AL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3"/>
      <c r="Y933" s="2"/>
      <c r="Z933" s="2"/>
      <c r="AA933" s="2"/>
      <c r="AB933" s="2"/>
      <c r="AC933" s="2"/>
      <c r="AD933" s="2"/>
      <c r="AE933" s="2"/>
      <c r="AF933" s="2"/>
      <c r="AG933" s="2"/>
      <c r="AH933" s="2"/>
      <c r="AI933" s="2"/>
      <c r="AJ933" s="2"/>
      <c r="AK933" s="2"/>
      <c r="AL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3"/>
      <c r="Y934" s="2"/>
      <c r="Z934" s="2"/>
      <c r="AA934" s="2"/>
      <c r="AB934" s="2"/>
      <c r="AC934" s="2"/>
      <c r="AD934" s="2"/>
      <c r="AE934" s="2"/>
      <c r="AF934" s="2"/>
      <c r="AG934" s="2"/>
      <c r="AH934" s="2"/>
      <c r="AI934" s="2"/>
      <c r="AJ934" s="2"/>
      <c r="AK934" s="2"/>
      <c r="AL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3"/>
      <c r="Y935" s="2"/>
      <c r="Z935" s="2"/>
      <c r="AA935" s="2"/>
      <c r="AB935" s="2"/>
      <c r="AC935" s="2"/>
      <c r="AD935" s="2"/>
      <c r="AE935" s="2"/>
      <c r="AF935" s="2"/>
      <c r="AG935" s="2"/>
      <c r="AH935" s="2"/>
      <c r="AI935" s="2"/>
      <c r="AJ935" s="2"/>
      <c r="AK935" s="2"/>
      <c r="AL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3"/>
      <c r="Y936" s="2"/>
      <c r="Z936" s="2"/>
      <c r="AA936" s="2"/>
      <c r="AB936" s="2"/>
      <c r="AC936" s="2"/>
      <c r="AD936" s="2"/>
      <c r="AE936" s="2"/>
      <c r="AF936" s="2"/>
      <c r="AG936" s="2"/>
      <c r="AH936" s="2"/>
      <c r="AI936" s="2"/>
      <c r="AJ936" s="2"/>
      <c r="AK936" s="2"/>
      <c r="AL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3"/>
      <c r="Y937" s="2"/>
      <c r="Z937" s="2"/>
      <c r="AA937" s="2"/>
      <c r="AB937" s="2"/>
      <c r="AC937" s="2"/>
      <c r="AD937" s="2"/>
      <c r="AE937" s="2"/>
      <c r="AF937" s="2"/>
      <c r="AG937" s="2"/>
      <c r="AH937" s="2"/>
      <c r="AI937" s="2"/>
      <c r="AJ937" s="2"/>
      <c r="AK937" s="2"/>
      <c r="AL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3"/>
      <c r="Y938" s="2"/>
      <c r="Z938" s="2"/>
      <c r="AA938" s="2"/>
      <c r="AB938" s="2"/>
      <c r="AC938" s="2"/>
      <c r="AD938" s="2"/>
      <c r="AE938" s="2"/>
      <c r="AF938" s="2"/>
      <c r="AG938" s="2"/>
      <c r="AH938" s="2"/>
      <c r="AI938" s="2"/>
      <c r="AJ938" s="2"/>
      <c r="AK938" s="2"/>
      <c r="AL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3"/>
      <c r="Y939" s="2"/>
      <c r="Z939" s="2"/>
      <c r="AA939" s="2"/>
      <c r="AB939" s="2"/>
      <c r="AC939" s="2"/>
      <c r="AD939" s="2"/>
      <c r="AE939" s="2"/>
      <c r="AF939" s="2"/>
      <c r="AG939" s="2"/>
      <c r="AH939" s="2"/>
      <c r="AI939" s="2"/>
      <c r="AJ939" s="2"/>
      <c r="AK939" s="2"/>
      <c r="AL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3"/>
      <c r="Y940" s="2"/>
      <c r="Z940" s="2"/>
      <c r="AA940" s="2"/>
      <c r="AB940" s="2"/>
      <c r="AC940" s="2"/>
      <c r="AD940" s="2"/>
      <c r="AE940" s="2"/>
      <c r="AF940" s="2"/>
      <c r="AG940" s="2"/>
      <c r="AH940" s="2"/>
      <c r="AI940" s="2"/>
      <c r="AJ940" s="2"/>
      <c r="AK940" s="2"/>
      <c r="AL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3"/>
      <c r="Y941" s="2"/>
      <c r="Z941" s="2"/>
      <c r="AA941" s="2"/>
      <c r="AB941" s="2"/>
      <c r="AC941" s="2"/>
      <c r="AD941" s="2"/>
      <c r="AE941" s="2"/>
      <c r="AF941" s="2"/>
      <c r="AG941" s="2"/>
      <c r="AH941" s="2"/>
      <c r="AI941" s="2"/>
      <c r="AJ941" s="2"/>
      <c r="AK941" s="2"/>
      <c r="AL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3"/>
      <c r="Y942" s="2"/>
      <c r="Z942" s="2"/>
      <c r="AA942" s="2"/>
      <c r="AB942" s="2"/>
      <c r="AC942" s="2"/>
      <c r="AD942" s="2"/>
      <c r="AE942" s="2"/>
      <c r="AF942" s="2"/>
      <c r="AG942" s="2"/>
      <c r="AH942" s="2"/>
      <c r="AI942" s="2"/>
      <c r="AJ942" s="2"/>
      <c r="AK942" s="2"/>
      <c r="AL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3"/>
      <c r="Y943" s="2"/>
      <c r="Z943" s="2"/>
      <c r="AA943" s="2"/>
      <c r="AB943" s="2"/>
      <c r="AC943" s="2"/>
      <c r="AD943" s="2"/>
      <c r="AE943" s="2"/>
      <c r="AF943" s="2"/>
      <c r="AG943" s="2"/>
      <c r="AH943" s="2"/>
      <c r="AI943" s="2"/>
      <c r="AJ943" s="2"/>
      <c r="AK943" s="2"/>
      <c r="AL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3"/>
      <c r="Y944" s="2"/>
      <c r="Z944" s="2"/>
      <c r="AA944" s="2"/>
      <c r="AB944" s="2"/>
      <c r="AC944" s="2"/>
      <c r="AD944" s="2"/>
      <c r="AE944" s="2"/>
      <c r="AF944" s="2"/>
      <c r="AG944" s="2"/>
      <c r="AH944" s="2"/>
      <c r="AI944" s="2"/>
      <c r="AJ944" s="2"/>
      <c r="AK944" s="2"/>
      <c r="AL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3"/>
      <c r="Y945" s="2"/>
      <c r="Z945" s="2"/>
      <c r="AA945" s="2"/>
      <c r="AB945" s="2"/>
      <c r="AC945" s="2"/>
      <c r="AD945" s="2"/>
      <c r="AE945" s="2"/>
      <c r="AF945" s="2"/>
      <c r="AG945" s="2"/>
      <c r="AH945" s="2"/>
      <c r="AI945" s="2"/>
      <c r="AJ945" s="2"/>
      <c r="AK945" s="2"/>
      <c r="AL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3"/>
      <c r="Y946" s="2"/>
      <c r="Z946" s="2"/>
      <c r="AA946" s="2"/>
      <c r="AB946" s="2"/>
      <c r="AC946" s="2"/>
      <c r="AD946" s="2"/>
      <c r="AE946" s="2"/>
      <c r="AF946" s="2"/>
      <c r="AG946" s="2"/>
      <c r="AH946" s="2"/>
      <c r="AI946" s="2"/>
      <c r="AJ946" s="2"/>
      <c r="AK946" s="2"/>
      <c r="AL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3"/>
      <c r="Y947" s="2"/>
      <c r="Z947" s="2"/>
      <c r="AA947" s="2"/>
      <c r="AB947" s="2"/>
      <c r="AC947" s="2"/>
      <c r="AD947" s="2"/>
      <c r="AE947" s="2"/>
      <c r="AF947" s="2"/>
      <c r="AG947" s="2"/>
      <c r="AH947" s="2"/>
      <c r="AI947" s="2"/>
      <c r="AJ947" s="2"/>
      <c r="AK947" s="2"/>
      <c r="AL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3"/>
      <c r="Y948" s="2"/>
      <c r="Z948" s="2"/>
      <c r="AA948" s="2"/>
      <c r="AB948" s="2"/>
      <c r="AC948" s="2"/>
      <c r="AD948" s="2"/>
      <c r="AE948" s="2"/>
      <c r="AF948" s="2"/>
      <c r="AG948" s="2"/>
      <c r="AH948" s="2"/>
      <c r="AI948" s="2"/>
      <c r="AJ948" s="2"/>
      <c r="AK948" s="2"/>
      <c r="AL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3"/>
      <c r="Y949" s="2"/>
      <c r="Z949" s="2"/>
      <c r="AA949" s="2"/>
      <c r="AB949" s="2"/>
      <c r="AC949" s="2"/>
      <c r="AD949" s="2"/>
      <c r="AE949" s="2"/>
      <c r="AF949" s="2"/>
      <c r="AG949" s="2"/>
      <c r="AH949" s="2"/>
      <c r="AI949" s="2"/>
      <c r="AJ949" s="2"/>
      <c r="AK949" s="2"/>
      <c r="AL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3"/>
      <c r="Y950" s="2"/>
      <c r="Z950" s="2"/>
      <c r="AA950" s="2"/>
      <c r="AB950" s="2"/>
      <c r="AC950" s="2"/>
      <c r="AD950" s="2"/>
      <c r="AE950" s="2"/>
      <c r="AF950" s="2"/>
      <c r="AG950" s="2"/>
      <c r="AH950" s="2"/>
      <c r="AI950" s="2"/>
      <c r="AJ950" s="2"/>
      <c r="AK950" s="2"/>
      <c r="AL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3"/>
      <c r="Y951" s="2"/>
      <c r="Z951" s="2"/>
      <c r="AA951" s="2"/>
      <c r="AB951" s="2"/>
      <c r="AC951" s="2"/>
      <c r="AD951" s="2"/>
      <c r="AE951" s="2"/>
      <c r="AF951" s="2"/>
      <c r="AG951" s="2"/>
      <c r="AH951" s="2"/>
      <c r="AI951" s="2"/>
      <c r="AJ951" s="2"/>
      <c r="AK951" s="2"/>
      <c r="AL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3"/>
      <c r="Y952" s="2"/>
      <c r="Z952" s="2"/>
      <c r="AA952" s="2"/>
      <c r="AB952" s="2"/>
      <c r="AC952" s="2"/>
      <c r="AD952" s="2"/>
      <c r="AE952" s="2"/>
      <c r="AF952" s="2"/>
      <c r="AG952" s="2"/>
      <c r="AH952" s="2"/>
      <c r="AI952" s="2"/>
      <c r="AJ952" s="2"/>
      <c r="AK952" s="2"/>
      <c r="AL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3"/>
      <c r="Y953" s="2"/>
      <c r="Z953" s="2"/>
      <c r="AA953" s="2"/>
      <c r="AB953" s="2"/>
      <c r="AC953" s="2"/>
      <c r="AD953" s="2"/>
      <c r="AE953" s="2"/>
      <c r="AF953" s="2"/>
      <c r="AG953" s="2"/>
      <c r="AH953" s="2"/>
      <c r="AI953" s="2"/>
      <c r="AJ953" s="2"/>
      <c r="AK953" s="2"/>
      <c r="AL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3"/>
      <c r="Y954" s="2"/>
      <c r="Z954" s="2"/>
      <c r="AA954" s="2"/>
      <c r="AB954" s="2"/>
      <c r="AC954" s="2"/>
      <c r="AD954" s="2"/>
      <c r="AE954" s="2"/>
      <c r="AF954" s="2"/>
      <c r="AG954" s="2"/>
      <c r="AH954" s="2"/>
      <c r="AI954" s="2"/>
      <c r="AJ954" s="2"/>
      <c r="AK954" s="2"/>
      <c r="AL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3"/>
      <c r="Y955" s="2"/>
      <c r="Z955" s="2"/>
      <c r="AA955" s="2"/>
      <c r="AB955" s="2"/>
      <c r="AC955" s="2"/>
      <c r="AD955" s="2"/>
      <c r="AE955" s="2"/>
      <c r="AF955" s="2"/>
      <c r="AG955" s="2"/>
      <c r="AH955" s="2"/>
      <c r="AI955" s="2"/>
      <c r="AJ955" s="2"/>
      <c r="AK955" s="2"/>
      <c r="AL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3"/>
      <c r="Y956" s="2"/>
      <c r="Z956" s="2"/>
      <c r="AA956" s="2"/>
      <c r="AB956" s="2"/>
      <c r="AC956" s="2"/>
      <c r="AD956" s="2"/>
      <c r="AE956" s="2"/>
      <c r="AF956" s="2"/>
      <c r="AG956" s="2"/>
      <c r="AH956" s="2"/>
      <c r="AI956" s="2"/>
      <c r="AJ956" s="2"/>
      <c r="AK956" s="2"/>
      <c r="AL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3"/>
      <c r="Y957" s="2"/>
      <c r="Z957" s="2"/>
      <c r="AA957" s="2"/>
      <c r="AB957" s="2"/>
      <c r="AC957" s="2"/>
      <c r="AD957" s="2"/>
      <c r="AE957" s="2"/>
      <c r="AF957" s="2"/>
      <c r="AG957" s="2"/>
      <c r="AH957" s="2"/>
      <c r="AI957" s="2"/>
      <c r="AJ957" s="2"/>
      <c r="AK957" s="2"/>
      <c r="AL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3"/>
      <c r="Y958" s="2"/>
      <c r="Z958" s="2"/>
      <c r="AA958" s="2"/>
      <c r="AB958" s="2"/>
      <c r="AC958" s="2"/>
      <c r="AD958" s="2"/>
      <c r="AE958" s="2"/>
      <c r="AF958" s="2"/>
      <c r="AG958" s="2"/>
      <c r="AH958" s="2"/>
      <c r="AI958" s="2"/>
      <c r="AJ958" s="2"/>
      <c r="AK958" s="2"/>
      <c r="AL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3"/>
      <c r="Y959" s="2"/>
      <c r="Z959" s="2"/>
      <c r="AA959" s="2"/>
      <c r="AB959" s="2"/>
      <c r="AC959" s="2"/>
      <c r="AD959" s="2"/>
      <c r="AE959" s="2"/>
      <c r="AF959" s="2"/>
      <c r="AG959" s="2"/>
      <c r="AH959" s="2"/>
      <c r="AI959" s="2"/>
      <c r="AJ959" s="2"/>
      <c r="AK959" s="2"/>
      <c r="AL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3"/>
      <c r="Y960" s="2"/>
      <c r="Z960" s="2"/>
      <c r="AA960" s="2"/>
      <c r="AB960" s="2"/>
      <c r="AC960" s="2"/>
      <c r="AD960" s="2"/>
      <c r="AE960" s="2"/>
      <c r="AF960" s="2"/>
      <c r="AG960" s="2"/>
      <c r="AH960" s="2"/>
      <c r="AI960" s="2"/>
      <c r="AJ960" s="2"/>
      <c r="AK960" s="2"/>
      <c r="AL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3"/>
      <c r="Y961" s="2"/>
      <c r="Z961" s="2"/>
      <c r="AA961" s="2"/>
      <c r="AB961" s="2"/>
      <c r="AC961" s="2"/>
      <c r="AD961" s="2"/>
      <c r="AE961" s="2"/>
      <c r="AF961" s="2"/>
      <c r="AG961" s="2"/>
      <c r="AH961" s="2"/>
      <c r="AI961" s="2"/>
      <c r="AJ961" s="2"/>
      <c r="AK961" s="2"/>
      <c r="AL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3"/>
      <c r="Y962" s="2"/>
      <c r="Z962" s="2"/>
      <c r="AA962" s="2"/>
      <c r="AB962" s="2"/>
      <c r="AC962" s="2"/>
      <c r="AD962" s="2"/>
      <c r="AE962" s="2"/>
      <c r="AF962" s="2"/>
      <c r="AG962" s="2"/>
      <c r="AH962" s="2"/>
      <c r="AI962" s="2"/>
      <c r="AJ962" s="2"/>
      <c r="AK962" s="2"/>
      <c r="AL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3"/>
      <c r="Y963" s="2"/>
      <c r="Z963" s="2"/>
      <c r="AA963" s="2"/>
      <c r="AB963" s="2"/>
      <c r="AC963" s="2"/>
      <c r="AD963" s="2"/>
      <c r="AE963" s="2"/>
      <c r="AF963" s="2"/>
      <c r="AG963" s="2"/>
      <c r="AH963" s="2"/>
      <c r="AI963" s="2"/>
      <c r="AJ963" s="2"/>
      <c r="AK963" s="2"/>
      <c r="AL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3"/>
      <c r="Y964" s="2"/>
      <c r="Z964" s="2"/>
      <c r="AA964" s="2"/>
      <c r="AB964" s="2"/>
      <c r="AC964" s="2"/>
      <c r="AD964" s="2"/>
      <c r="AE964" s="2"/>
      <c r="AF964" s="2"/>
      <c r="AG964" s="2"/>
      <c r="AH964" s="2"/>
      <c r="AI964" s="2"/>
      <c r="AJ964" s="2"/>
      <c r="AK964" s="2"/>
      <c r="AL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3"/>
      <c r="Y965" s="2"/>
      <c r="Z965" s="2"/>
      <c r="AA965" s="2"/>
      <c r="AB965" s="2"/>
      <c r="AC965" s="2"/>
      <c r="AD965" s="2"/>
      <c r="AE965" s="2"/>
      <c r="AF965" s="2"/>
      <c r="AG965" s="2"/>
      <c r="AH965" s="2"/>
      <c r="AI965" s="2"/>
      <c r="AJ965" s="2"/>
      <c r="AK965" s="2"/>
      <c r="AL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3"/>
      <c r="Y966" s="2"/>
      <c r="Z966" s="2"/>
      <c r="AA966" s="2"/>
      <c r="AB966" s="2"/>
      <c r="AC966" s="2"/>
      <c r="AD966" s="2"/>
      <c r="AE966" s="2"/>
      <c r="AF966" s="2"/>
      <c r="AG966" s="2"/>
      <c r="AH966" s="2"/>
      <c r="AI966" s="2"/>
      <c r="AJ966" s="2"/>
      <c r="AK966" s="2"/>
      <c r="AL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3"/>
      <c r="Y967" s="2"/>
      <c r="Z967" s="2"/>
      <c r="AA967" s="2"/>
      <c r="AB967" s="2"/>
      <c r="AC967" s="2"/>
      <c r="AD967" s="2"/>
      <c r="AE967" s="2"/>
      <c r="AF967" s="2"/>
      <c r="AG967" s="2"/>
      <c r="AH967" s="2"/>
      <c r="AI967" s="2"/>
      <c r="AJ967" s="2"/>
      <c r="AK967" s="2"/>
      <c r="AL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3"/>
      <c r="Y968" s="2"/>
      <c r="Z968" s="2"/>
      <c r="AA968" s="2"/>
      <c r="AB968" s="2"/>
      <c r="AC968" s="2"/>
      <c r="AD968" s="2"/>
      <c r="AE968" s="2"/>
      <c r="AF968" s="2"/>
      <c r="AG968" s="2"/>
      <c r="AH968" s="2"/>
      <c r="AI968" s="2"/>
      <c r="AJ968" s="2"/>
      <c r="AK968" s="2"/>
      <c r="AL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3"/>
      <c r="Y969" s="2"/>
      <c r="Z969" s="2"/>
      <c r="AA969" s="2"/>
      <c r="AB969" s="2"/>
      <c r="AC969" s="2"/>
      <c r="AD969" s="2"/>
      <c r="AE969" s="2"/>
      <c r="AF969" s="2"/>
      <c r="AG969" s="2"/>
      <c r="AH969" s="2"/>
      <c r="AI969" s="2"/>
      <c r="AJ969" s="2"/>
      <c r="AK969" s="2"/>
      <c r="AL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3"/>
      <c r="Y970" s="2"/>
      <c r="Z970" s="2"/>
      <c r="AA970" s="2"/>
      <c r="AB970" s="2"/>
      <c r="AC970" s="2"/>
      <c r="AD970" s="2"/>
      <c r="AE970" s="2"/>
      <c r="AF970" s="2"/>
      <c r="AG970" s="2"/>
      <c r="AH970" s="2"/>
      <c r="AI970" s="2"/>
      <c r="AJ970" s="2"/>
      <c r="AK970" s="2"/>
      <c r="AL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3"/>
      <c r="Y971" s="2"/>
      <c r="Z971" s="2"/>
      <c r="AA971" s="2"/>
      <c r="AB971" s="2"/>
      <c r="AC971" s="2"/>
      <c r="AD971" s="2"/>
      <c r="AE971" s="2"/>
      <c r="AF971" s="2"/>
      <c r="AG971" s="2"/>
      <c r="AH971" s="2"/>
      <c r="AI971" s="2"/>
      <c r="AJ971" s="2"/>
      <c r="AK971" s="2"/>
      <c r="AL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3"/>
      <c r="Y972" s="2"/>
      <c r="Z972" s="2"/>
      <c r="AA972" s="2"/>
      <c r="AB972" s="2"/>
      <c r="AC972" s="2"/>
      <c r="AD972" s="2"/>
      <c r="AE972" s="2"/>
      <c r="AF972" s="2"/>
      <c r="AG972" s="2"/>
      <c r="AH972" s="2"/>
      <c r="AI972" s="2"/>
      <c r="AJ972" s="2"/>
      <c r="AK972" s="2"/>
      <c r="AL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3"/>
      <c r="Y973" s="2"/>
      <c r="Z973" s="2"/>
      <c r="AA973" s="2"/>
      <c r="AB973" s="2"/>
      <c r="AC973" s="2"/>
      <c r="AD973" s="2"/>
      <c r="AE973" s="2"/>
      <c r="AF973" s="2"/>
      <c r="AG973" s="2"/>
      <c r="AH973" s="2"/>
      <c r="AI973" s="2"/>
      <c r="AJ973" s="2"/>
      <c r="AK973" s="2"/>
      <c r="AL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3"/>
      <c r="Y974" s="2"/>
      <c r="Z974" s="2"/>
      <c r="AA974" s="2"/>
      <c r="AB974" s="2"/>
      <c r="AC974" s="2"/>
      <c r="AD974" s="2"/>
      <c r="AE974" s="2"/>
      <c r="AF974" s="2"/>
      <c r="AG974" s="2"/>
      <c r="AH974" s="2"/>
      <c r="AI974" s="2"/>
      <c r="AJ974" s="2"/>
      <c r="AK974" s="2"/>
      <c r="AL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3"/>
      <c r="Y975" s="2"/>
      <c r="Z975" s="2"/>
      <c r="AA975" s="2"/>
      <c r="AB975" s="2"/>
      <c r="AC975" s="2"/>
      <c r="AD975" s="2"/>
      <c r="AE975" s="2"/>
      <c r="AF975" s="2"/>
      <c r="AG975" s="2"/>
      <c r="AH975" s="2"/>
      <c r="AI975" s="2"/>
      <c r="AJ975" s="2"/>
      <c r="AK975" s="2"/>
      <c r="AL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3"/>
      <c r="Y976" s="2"/>
      <c r="Z976" s="2"/>
      <c r="AA976" s="2"/>
      <c r="AB976" s="2"/>
      <c r="AC976" s="2"/>
      <c r="AD976" s="2"/>
      <c r="AE976" s="2"/>
      <c r="AF976" s="2"/>
      <c r="AG976" s="2"/>
      <c r="AH976" s="2"/>
      <c r="AI976" s="2"/>
      <c r="AJ976" s="2"/>
      <c r="AK976" s="2"/>
      <c r="AL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3"/>
      <c r="Y977" s="2"/>
      <c r="Z977" s="2"/>
      <c r="AA977" s="2"/>
      <c r="AB977" s="2"/>
      <c r="AC977" s="2"/>
      <c r="AD977" s="2"/>
      <c r="AE977" s="2"/>
      <c r="AF977" s="2"/>
      <c r="AG977" s="2"/>
      <c r="AH977" s="2"/>
      <c r="AI977" s="2"/>
      <c r="AJ977" s="2"/>
      <c r="AK977" s="2"/>
      <c r="AL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3"/>
      <c r="Y978" s="2"/>
      <c r="Z978" s="2"/>
      <c r="AA978" s="2"/>
      <c r="AB978" s="2"/>
      <c r="AC978" s="2"/>
      <c r="AD978" s="2"/>
      <c r="AE978" s="2"/>
      <c r="AF978" s="2"/>
      <c r="AG978" s="2"/>
      <c r="AH978" s="2"/>
      <c r="AI978" s="2"/>
      <c r="AJ978" s="2"/>
      <c r="AK978" s="2"/>
      <c r="AL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3"/>
      <c r="Y979" s="2"/>
      <c r="Z979" s="2"/>
      <c r="AA979" s="2"/>
      <c r="AB979" s="2"/>
      <c r="AC979" s="2"/>
      <c r="AD979" s="2"/>
      <c r="AE979" s="2"/>
      <c r="AF979" s="2"/>
      <c r="AG979" s="2"/>
      <c r="AH979" s="2"/>
      <c r="AI979" s="2"/>
      <c r="AJ979" s="2"/>
      <c r="AK979" s="2"/>
      <c r="AL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3"/>
      <c r="Y980" s="2"/>
      <c r="Z980" s="2"/>
      <c r="AA980" s="2"/>
      <c r="AB980" s="2"/>
      <c r="AC980" s="2"/>
      <c r="AD980" s="2"/>
      <c r="AE980" s="2"/>
      <c r="AF980" s="2"/>
      <c r="AG980" s="2"/>
      <c r="AH980" s="2"/>
      <c r="AI980" s="2"/>
      <c r="AJ980" s="2"/>
      <c r="AK980" s="2"/>
      <c r="AL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3"/>
      <c r="Y981" s="2"/>
      <c r="Z981" s="2"/>
      <c r="AA981" s="2"/>
      <c r="AB981" s="2"/>
      <c r="AC981" s="2"/>
      <c r="AD981" s="2"/>
      <c r="AE981" s="2"/>
      <c r="AF981" s="2"/>
      <c r="AG981" s="2"/>
      <c r="AH981" s="2"/>
      <c r="AI981" s="2"/>
      <c r="AJ981" s="2"/>
      <c r="AK981" s="2"/>
      <c r="AL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3"/>
      <c r="Y982" s="2"/>
      <c r="Z982" s="2"/>
      <c r="AA982" s="2"/>
      <c r="AB982" s="2"/>
      <c r="AC982" s="2"/>
      <c r="AD982" s="2"/>
      <c r="AE982" s="2"/>
      <c r="AF982" s="2"/>
      <c r="AG982" s="2"/>
      <c r="AH982" s="2"/>
      <c r="AI982" s="2"/>
      <c r="AJ982" s="2"/>
      <c r="AK982" s="2"/>
      <c r="AL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3"/>
      <c r="Y983" s="2"/>
      <c r="Z983" s="2"/>
      <c r="AA983" s="2"/>
      <c r="AB983" s="2"/>
      <c r="AC983" s="2"/>
      <c r="AD983" s="2"/>
      <c r="AE983" s="2"/>
      <c r="AF983" s="2"/>
      <c r="AG983" s="2"/>
      <c r="AH983" s="2"/>
      <c r="AI983" s="2"/>
      <c r="AJ983" s="2"/>
      <c r="AK983" s="2"/>
      <c r="AL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3"/>
      <c r="Y984" s="2"/>
      <c r="Z984" s="2"/>
      <c r="AA984" s="2"/>
      <c r="AB984" s="2"/>
      <c r="AC984" s="2"/>
      <c r="AD984" s="2"/>
      <c r="AE984" s="2"/>
      <c r="AF984" s="2"/>
      <c r="AG984" s="2"/>
      <c r="AH984" s="2"/>
      <c r="AI984" s="2"/>
      <c r="AJ984" s="2"/>
      <c r="AK984" s="2"/>
      <c r="AL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3"/>
      <c r="Y985" s="2"/>
      <c r="Z985" s="2"/>
      <c r="AA985" s="2"/>
      <c r="AB985" s="2"/>
      <c r="AC985" s="2"/>
      <c r="AD985" s="2"/>
      <c r="AE985" s="2"/>
      <c r="AF985" s="2"/>
      <c r="AG985" s="2"/>
      <c r="AH985" s="2"/>
      <c r="AI985" s="2"/>
      <c r="AJ985" s="2"/>
      <c r="AK985" s="2"/>
      <c r="AL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3"/>
      <c r="Y986" s="2"/>
      <c r="Z986" s="2"/>
      <c r="AA986" s="2"/>
      <c r="AB986" s="2"/>
      <c r="AC986" s="2"/>
      <c r="AD986" s="2"/>
      <c r="AE986" s="2"/>
      <c r="AF986" s="2"/>
      <c r="AG986" s="2"/>
      <c r="AH986" s="2"/>
      <c r="AI986" s="2"/>
      <c r="AJ986" s="2"/>
      <c r="AK986" s="2"/>
      <c r="AL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3"/>
      <c r="Y987" s="2"/>
      <c r="Z987" s="2"/>
      <c r="AA987" s="2"/>
      <c r="AB987" s="2"/>
      <c r="AC987" s="2"/>
      <c r="AD987" s="2"/>
      <c r="AE987" s="2"/>
      <c r="AF987" s="2"/>
      <c r="AG987" s="2"/>
      <c r="AH987" s="2"/>
      <c r="AI987" s="2"/>
      <c r="AJ987" s="2"/>
      <c r="AK987" s="2"/>
      <c r="AL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3"/>
      <c r="Y988" s="2"/>
      <c r="Z988" s="2"/>
      <c r="AA988" s="2"/>
      <c r="AB988" s="2"/>
      <c r="AC988" s="2"/>
      <c r="AD988" s="2"/>
      <c r="AE988" s="2"/>
      <c r="AF988" s="2"/>
      <c r="AG988" s="2"/>
      <c r="AH988" s="2"/>
      <c r="AI988" s="2"/>
      <c r="AJ988" s="2"/>
      <c r="AK988" s="2"/>
      <c r="AL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3"/>
      <c r="Y989" s="2"/>
      <c r="Z989" s="2"/>
      <c r="AA989" s="2"/>
      <c r="AB989" s="2"/>
      <c r="AC989" s="2"/>
      <c r="AD989" s="2"/>
      <c r="AE989" s="2"/>
      <c r="AF989" s="2"/>
      <c r="AG989" s="2"/>
      <c r="AH989" s="2"/>
      <c r="AI989" s="2"/>
      <c r="AJ989" s="2"/>
      <c r="AK989" s="2"/>
      <c r="AL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3"/>
      <c r="Y990" s="2"/>
      <c r="Z990" s="2"/>
      <c r="AA990" s="2"/>
      <c r="AB990" s="2"/>
      <c r="AC990" s="2"/>
      <c r="AD990" s="2"/>
      <c r="AE990" s="2"/>
      <c r="AF990" s="2"/>
      <c r="AG990" s="2"/>
      <c r="AH990" s="2"/>
      <c r="AI990" s="2"/>
      <c r="AJ990" s="2"/>
      <c r="AK990" s="2"/>
      <c r="AL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3"/>
      <c r="Y991" s="2"/>
      <c r="Z991" s="2"/>
      <c r="AA991" s="2"/>
      <c r="AB991" s="2"/>
      <c r="AC991" s="2"/>
      <c r="AD991" s="2"/>
      <c r="AE991" s="2"/>
      <c r="AF991" s="2"/>
      <c r="AG991" s="2"/>
      <c r="AH991" s="2"/>
      <c r="AI991" s="2"/>
      <c r="AJ991" s="2"/>
      <c r="AK991" s="2"/>
      <c r="AL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3"/>
      <c r="Y992" s="2"/>
      <c r="Z992" s="2"/>
      <c r="AA992" s="2"/>
      <c r="AB992" s="2"/>
      <c r="AC992" s="2"/>
      <c r="AD992" s="2"/>
      <c r="AE992" s="2"/>
      <c r="AF992" s="2"/>
      <c r="AG992" s="2"/>
      <c r="AH992" s="2"/>
      <c r="AI992" s="2"/>
      <c r="AJ992" s="2"/>
      <c r="AK992" s="2"/>
      <c r="AL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3"/>
      <c r="Y993" s="2"/>
      <c r="Z993" s="2"/>
      <c r="AA993" s="2"/>
      <c r="AB993" s="2"/>
      <c r="AC993" s="2"/>
      <c r="AD993" s="2"/>
      <c r="AE993" s="2"/>
      <c r="AF993" s="2"/>
      <c r="AG993" s="2"/>
      <c r="AH993" s="2"/>
      <c r="AI993" s="2"/>
      <c r="AJ993" s="2"/>
      <c r="AK993" s="2"/>
      <c r="AL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3"/>
      <c r="Y994" s="2"/>
      <c r="Z994" s="2"/>
      <c r="AA994" s="2"/>
      <c r="AB994" s="2"/>
      <c r="AC994" s="2"/>
      <c r="AD994" s="2"/>
      <c r="AE994" s="2"/>
      <c r="AF994" s="2"/>
      <c r="AG994" s="2"/>
      <c r="AH994" s="2"/>
      <c r="AI994" s="2"/>
      <c r="AJ994" s="2"/>
      <c r="AK994" s="2"/>
      <c r="AL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3"/>
      <c r="Y995" s="2"/>
      <c r="Z995" s="2"/>
      <c r="AA995" s="2"/>
      <c r="AB995" s="2"/>
      <c r="AC995" s="2"/>
      <c r="AD995" s="2"/>
      <c r="AE995" s="2"/>
      <c r="AF995" s="2"/>
      <c r="AG995" s="2"/>
      <c r="AH995" s="2"/>
      <c r="AI995" s="2"/>
      <c r="AJ995" s="2"/>
      <c r="AK995" s="2"/>
      <c r="AL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3"/>
      <c r="Y996" s="2"/>
      <c r="Z996" s="2"/>
      <c r="AA996" s="2"/>
      <c r="AB996" s="2"/>
      <c r="AC996" s="2"/>
      <c r="AD996" s="2"/>
      <c r="AE996" s="2"/>
      <c r="AF996" s="2"/>
      <c r="AG996" s="2"/>
      <c r="AH996" s="2"/>
      <c r="AI996" s="2"/>
      <c r="AJ996" s="2"/>
      <c r="AK996" s="2"/>
      <c r="AL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3"/>
      <c r="Y997" s="2"/>
      <c r="Z997" s="2"/>
      <c r="AA997" s="2"/>
      <c r="AB997" s="2"/>
      <c r="AC997" s="2"/>
      <c r="AD997" s="2"/>
      <c r="AE997" s="2"/>
      <c r="AF997" s="2"/>
      <c r="AG997" s="2"/>
      <c r="AH997" s="2"/>
      <c r="AI997" s="2"/>
      <c r="AJ997" s="2"/>
      <c r="AK997" s="2"/>
      <c r="AL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3"/>
      <c r="Y998" s="2"/>
      <c r="Z998" s="2"/>
      <c r="AA998" s="2"/>
      <c r="AB998" s="2"/>
      <c r="AC998" s="2"/>
      <c r="AD998" s="2"/>
      <c r="AE998" s="2"/>
      <c r="AF998" s="2"/>
      <c r="AG998" s="2"/>
      <c r="AH998" s="2"/>
      <c r="AI998" s="2"/>
      <c r="AJ998" s="2"/>
      <c r="AK998" s="2"/>
      <c r="AL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3"/>
      <c r="Y999" s="2"/>
      <c r="Z999" s="2"/>
      <c r="AA999" s="2"/>
      <c r="AB999" s="2"/>
      <c r="AC999" s="2"/>
      <c r="AD999" s="2"/>
      <c r="AE999" s="2"/>
      <c r="AF999" s="2"/>
      <c r="AG999" s="2"/>
      <c r="AH999" s="2"/>
      <c r="AI999" s="2"/>
      <c r="AJ999" s="2"/>
      <c r="AK999" s="2"/>
      <c r="AL999" s="2"/>
    </row>
  </sheetData>
  <mergeCells count="13">
    <mergeCell ref="P4:P7"/>
    <mergeCell ref="R4:R7"/>
    <mergeCell ref="T6:T7"/>
    <mergeCell ref="V6:V7"/>
    <mergeCell ref="Y6:Y7"/>
    <mergeCell ref="Z6:Z7"/>
    <mergeCell ref="B4:B7"/>
    <mergeCell ref="D4:D7"/>
    <mergeCell ref="F4:F7"/>
    <mergeCell ref="H4:H7"/>
    <mergeCell ref="J4:J7"/>
    <mergeCell ref="L4:L7"/>
    <mergeCell ref="N4:N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7" max="7" width="2.63"/>
    <col customWidth="1" min="11" max="11" width="2.0"/>
    <col customWidth="1" min="13" max="13" width="2.38"/>
    <col customWidth="1" min="15" max="15" width="2.25"/>
    <col customWidth="1" min="17" max="17" width="2.75"/>
  </cols>
  <sheetData>
    <row r="1">
      <c r="A1" s="44"/>
      <c r="B1" s="44"/>
      <c r="Q1" s="45" t="s">
        <v>35</v>
      </c>
    </row>
    <row r="2">
      <c r="A2" s="44"/>
      <c r="B2" s="44"/>
    </row>
    <row r="3">
      <c r="A3" s="44"/>
      <c r="B3" s="44"/>
    </row>
    <row r="4">
      <c r="A4" s="44"/>
      <c r="B4" s="44"/>
    </row>
    <row r="5">
      <c r="A5" s="44"/>
      <c r="B5" s="44"/>
      <c r="C5" s="46" t="s">
        <v>36</v>
      </c>
      <c r="D5" s="47" t="s">
        <v>37</v>
      </c>
      <c r="G5" s="48"/>
      <c r="H5" s="47" t="s">
        <v>38</v>
      </c>
      <c r="L5" s="46" t="s">
        <v>39</v>
      </c>
      <c r="N5" s="46" t="s">
        <v>40</v>
      </c>
      <c r="P5" s="46" t="s">
        <v>41</v>
      </c>
      <c r="Q5" s="46"/>
      <c r="R5" s="46" t="s">
        <v>42</v>
      </c>
    </row>
    <row r="6">
      <c r="A6" s="44"/>
      <c r="D6" s="49" t="s">
        <v>43</v>
      </c>
      <c r="E6" s="49" t="s">
        <v>44</v>
      </c>
      <c r="F6" s="49" t="s">
        <v>45</v>
      </c>
      <c r="G6" s="48"/>
      <c r="H6" s="49" t="s">
        <v>43</v>
      </c>
      <c r="I6" s="49" t="s">
        <v>44</v>
      </c>
      <c r="J6" s="49" t="s">
        <v>45</v>
      </c>
      <c r="Q6" s="46"/>
    </row>
    <row r="7">
      <c r="A7" s="50"/>
      <c r="B7" s="50">
        <v>45292.0</v>
      </c>
      <c r="C7" s="51">
        <f t="shared" ref="C7:C30" si="1">D7+H7</f>
        <v>132394802</v>
      </c>
      <c r="D7" s="51">
        <v>9.0660125E7</v>
      </c>
      <c r="E7" s="51">
        <v>1000000.0</v>
      </c>
      <c r="F7" s="51">
        <v>52244.0</v>
      </c>
      <c r="H7" s="51">
        <v>4.1734677E7</v>
      </c>
      <c r="I7" s="51">
        <v>0.0</v>
      </c>
      <c r="J7" s="51">
        <v>0.0</v>
      </c>
      <c r="L7" s="52">
        <f>IFERROR(__xludf.DUMMYFUNCTION("INDEX(GOOGLEFINANCE(""INDEXSP:.INX"", ""close"", B7), 2, 2)"),4742.83)</f>
        <v>4742.83</v>
      </c>
      <c r="N7" s="53">
        <f t="shared" ref="N7:N30" si="2">F7+J7</f>
        <v>52244</v>
      </c>
      <c r="P7" s="53">
        <f>C7-sum(E7)-sum(I7)</f>
        <v>131394802</v>
      </c>
      <c r="R7" s="54">
        <f t="shared" ref="R7:R30" si="3">IF($P$7=0, $L$7, (P7/$P$7)*$L$7)</f>
        <v>4742.83</v>
      </c>
    </row>
    <row r="8">
      <c r="A8" s="50"/>
      <c r="B8" s="50">
        <v>45323.0</v>
      </c>
      <c r="C8" s="51">
        <f t="shared" si="1"/>
        <v>139143367</v>
      </c>
      <c r="D8" s="51">
        <v>9.5582045E7</v>
      </c>
      <c r="E8" s="51">
        <v>2150000.0</v>
      </c>
      <c r="F8" s="51">
        <v>0.0</v>
      </c>
      <c r="H8" s="51">
        <v>4.3561322E7</v>
      </c>
      <c r="I8" s="51">
        <v>1400000.0</v>
      </c>
      <c r="J8" s="51">
        <v>77228.0</v>
      </c>
      <c r="L8" s="52">
        <f>IFERROR(__xludf.DUMMYFUNCTION("INDEX(GOOGLEFINANCE(""INDEXSP:.INX"", ""close"", B8), 2, 2)"),4906.19)</f>
        <v>4906.19</v>
      </c>
      <c r="N8" s="53">
        <f t="shared" si="2"/>
        <v>77228</v>
      </c>
      <c r="P8" s="53">
        <f t="shared" ref="P8:P30" si="4">C8-sum(E$7:E8)-sum(I$7:I8)</f>
        <v>134593367</v>
      </c>
      <c r="R8" s="54">
        <f t="shared" si="3"/>
        <v>4858.285481</v>
      </c>
    </row>
    <row r="9">
      <c r="A9" s="50"/>
      <c r="B9" s="50">
        <v>45352.0</v>
      </c>
      <c r="C9" s="51">
        <f t="shared" si="1"/>
        <v>152336616</v>
      </c>
      <c r="D9" s="51">
        <v>1.06350408E8</v>
      </c>
      <c r="E9" s="51">
        <v>300000.0</v>
      </c>
      <c r="F9" s="51">
        <v>0.0</v>
      </c>
      <c r="H9" s="51">
        <v>4.5986208E7</v>
      </c>
      <c r="I9" s="51">
        <v>1500000.0</v>
      </c>
      <c r="J9" s="51">
        <v>184394.0</v>
      </c>
      <c r="L9" s="52">
        <f>IFERROR(__xludf.DUMMYFUNCTION("INDEX(GOOGLEFINANCE(""INDEXSP:.INX"", ""close"", B9), 2, 2)"),5137.08)</f>
        <v>5137.08</v>
      </c>
      <c r="N9" s="53">
        <f t="shared" si="2"/>
        <v>184394</v>
      </c>
      <c r="P9" s="53">
        <f t="shared" si="4"/>
        <v>145986616</v>
      </c>
      <c r="R9" s="54">
        <f t="shared" si="3"/>
        <v>5269.536477</v>
      </c>
    </row>
    <row r="10">
      <c r="A10" s="50"/>
      <c r="B10" s="50">
        <v>45383.0</v>
      </c>
      <c r="C10" s="51">
        <f t="shared" si="1"/>
        <v>161877609</v>
      </c>
      <c r="D10" s="51">
        <v>1.12418019E8</v>
      </c>
      <c r="E10" s="51">
        <v>1300000.0</v>
      </c>
      <c r="F10" s="51">
        <v>75494.0</v>
      </c>
      <c r="H10" s="51">
        <v>4.945959E7</v>
      </c>
      <c r="I10" s="51">
        <v>2500000.0</v>
      </c>
      <c r="J10" s="51">
        <v>102230.0</v>
      </c>
      <c r="L10" s="52">
        <f>IFERROR(__xludf.DUMMYFUNCTION("INDEX(GOOGLEFINANCE(""INDEXSP:.INX"", ""close"", B10), 2, 2)"),5243.77)</f>
        <v>5243.77</v>
      </c>
      <c r="N10" s="53">
        <f t="shared" si="2"/>
        <v>177724</v>
      </c>
      <c r="P10" s="53">
        <f t="shared" si="4"/>
        <v>151727609</v>
      </c>
      <c r="R10" s="54">
        <f t="shared" si="3"/>
        <v>5476.763501</v>
      </c>
    </row>
    <row r="11">
      <c r="A11" s="50"/>
      <c r="B11" s="50">
        <v>45413.0</v>
      </c>
      <c r="C11" s="51">
        <f t="shared" si="1"/>
        <v>162675799</v>
      </c>
      <c r="D11" s="51">
        <v>1.13509022E8</v>
      </c>
      <c r="E11" s="51">
        <v>0.0</v>
      </c>
      <c r="F11" s="51">
        <v>0.0</v>
      </c>
      <c r="H11" s="51">
        <v>4.9166777E7</v>
      </c>
      <c r="I11" s="51">
        <v>0.0</v>
      </c>
      <c r="J11" s="51">
        <v>75954.0</v>
      </c>
      <c r="L11" s="52">
        <f>IFERROR(__xludf.DUMMYFUNCTION("INDEX(GOOGLEFINANCE(""INDEXSP:.INX"", ""close"", B11), 2, 2)"),5018.39)</f>
        <v>5018.39</v>
      </c>
      <c r="N11" s="53">
        <f t="shared" si="2"/>
        <v>75954</v>
      </c>
      <c r="P11" s="53">
        <f t="shared" si="4"/>
        <v>152525799</v>
      </c>
      <c r="R11" s="54">
        <f t="shared" si="3"/>
        <v>5505.574987</v>
      </c>
    </row>
    <row r="12">
      <c r="A12" s="50"/>
      <c r="B12" s="50">
        <v>45444.0</v>
      </c>
      <c r="C12" s="51">
        <f t="shared" si="1"/>
        <v>175478985</v>
      </c>
      <c r="D12" s="51">
        <v>1.23019196E8</v>
      </c>
      <c r="E12" s="51">
        <v>2800000.0</v>
      </c>
      <c r="F12" s="51">
        <v>0.0</v>
      </c>
      <c r="H12" s="51">
        <v>5.2459789E7</v>
      </c>
      <c r="I12" s="51">
        <v>1500000.0</v>
      </c>
      <c r="J12" s="51">
        <v>69702.0</v>
      </c>
      <c r="L12" s="52">
        <f>IFERROR(__xludf.DUMMYFUNCTION("INDEX(GOOGLEFINANCE(""INDEXSP:.INX"", ""close"", B12), 2, 2)"),5283.4)</f>
        <v>5283.4</v>
      </c>
      <c r="N12" s="53">
        <f t="shared" si="2"/>
        <v>69702</v>
      </c>
      <c r="P12" s="53">
        <f t="shared" si="4"/>
        <v>161028985</v>
      </c>
      <c r="R12" s="54">
        <f t="shared" si="3"/>
        <v>5812.506197</v>
      </c>
    </row>
    <row r="13">
      <c r="A13" s="50"/>
      <c r="B13" s="50">
        <v>45474.0</v>
      </c>
      <c r="C13" s="51">
        <f t="shared" si="1"/>
        <v>178942784</v>
      </c>
      <c r="D13" s="51">
        <v>1.23020729E8</v>
      </c>
      <c r="E13" s="51">
        <v>2600000.0</v>
      </c>
      <c r="F13" s="51">
        <v>75999.0</v>
      </c>
      <c r="H13" s="51">
        <v>5.5922055E7</v>
      </c>
      <c r="I13" s="51">
        <v>1500000.0</v>
      </c>
      <c r="J13" s="51">
        <v>233066.0</v>
      </c>
      <c r="L13" s="52">
        <f>IFERROR(__xludf.DUMMYFUNCTION("INDEX(GOOGLEFINANCE(""INDEXSP:.INX"", ""close"", B13), 2, 2)"),5475.09)</f>
        <v>5475.09</v>
      </c>
      <c r="N13" s="53">
        <f t="shared" si="2"/>
        <v>309065</v>
      </c>
      <c r="P13" s="53">
        <f t="shared" si="4"/>
        <v>160392784</v>
      </c>
      <c r="R13" s="54">
        <f t="shared" si="3"/>
        <v>5789.54187</v>
      </c>
    </row>
    <row r="14">
      <c r="A14" s="50"/>
      <c r="B14" s="50">
        <v>45505.0</v>
      </c>
      <c r="C14" s="51">
        <f t="shared" si="1"/>
        <v>160656243</v>
      </c>
      <c r="D14" s="51">
        <v>1.05204356E8</v>
      </c>
      <c r="E14" s="51">
        <v>0.0</v>
      </c>
      <c r="F14" s="51">
        <v>0.0</v>
      </c>
      <c r="H14" s="51">
        <v>5.5451887E7</v>
      </c>
      <c r="I14" s="51">
        <v>520000.0</v>
      </c>
      <c r="J14" s="51">
        <v>117786.0</v>
      </c>
      <c r="L14" s="52">
        <f>IFERROR(__xludf.DUMMYFUNCTION("INDEX(GOOGLEFINANCE(""INDEXSP:.INX"", ""close"", B14), 2, 2)"),5446.68)</f>
        <v>5446.68</v>
      </c>
      <c r="N14" s="53">
        <f t="shared" si="2"/>
        <v>117786</v>
      </c>
      <c r="P14" s="53">
        <f t="shared" si="4"/>
        <v>141586243</v>
      </c>
      <c r="R14" s="54">
        <f t="shared" si="3"/>
        <v>5110.700505</v>
      </c>
    </row>
    <row r="15">
      <c r="A15" s="50"/>
      <c r="B15" s="50">
        <v>45536.0</v>
      </c>
      <c r="C15" s="51">
        <f t="shared" si="1"/>
        <v>176730246</v>
      </c>
      <c r="D15" s="51">
        <v>1.21065277E8</v>
      </c>
      <c r="E15" s="51">
        <v>2900000.0</v>
      </c>
      <c r="F15" s="51">
        <v>0.0</v>
      </c>
      <c r="H15" s="51">
        <v>5.5664969E7</v>
      </c>
      <c r="I15" s="51">
        <v>500000.0</v>
      </c>
      <c r="J15" s="51">
        <v>236198.0</v>
      </c>
      <c r="L15" s="52">
        <f>IFERROR(__xludf.DUMMYFUNCTION("INDEX(GOOGLEFINANCE(""INDEXSP:.INX"", ""close"", B15), 2, 2)"),5528.93)</f>
        <v>5528.93</v>
      </c>
      <c r="N15" s="53">
        <f t="shared" si="2"/>
        <v>236198</v>
      </c>
      <c r="P15" s="53">
        <f t="shared" si="4"/>
        <v>154260246</v>
      </c>
      <c r="R15" s="54">
        <f t="shared" si="3"/>
        <v>5568.181628</v>
      </c>
    </row>
    <row r="16">
      <c r="A16" s="50"/>
      <c r="B16" s="50">
        <v>45566.0</v>
      </c>
      <c r="C16" s="51">
        <f t="shared" si="1"/>
        <v>220371739</v>
      </c>
      <c r="D16" s="51">
        <v>1.49086834E8</v>
      </c>
      <c r="E16" s="51">
        <v>6500000.0</v>
      </c>
      <c r="F16" s="51">
        <v>104237.0</v>
      </c>
      <c r="H16" s="51">
        <v>7.1284905E7</v>
      </c>
      <c r="I16" s="51">
        <v>1.25E7</v>
      </c>
      <c r="J16" s="51">
        <v>158846.0</v>
      </c>
      <c r="L16" s="52">
        <f>IFERROR(__xludf.DUMMYFUNCTION("INDEX(GOOGLEFINANCE(""INDEXSP:.INX"", ""close"", B16), 2, 2)"),5708.75)</f>
        <v>5708.75</v>
      </c>
      <c r="N16" s="53">
        <f t="shared" si="2"/>
        <v>263083</v>
      </c>
      <c r="P16" s="53">
        <f t="shared" si="4"/>
        <v>178901739</v>
      </c>
      <c r="R16" s="54">
        <f t="shared" si="3"/>
        <v>6457.641565</v>
      </c>
    </row>
    <row r="17">
      <c r="A17" s="50"/>
      <c r="B17" s="50">
        <v>45597.0</v>
      </c>
      <c r="C17" s="51">
        <f t="shared" si="1"/>
        <v>266772566</v>
      </c>
      <c r="D17" s="51">
        <v>1.93098687E8</v>
      </c>
      <c r="E17" s="51">
        <v>0.0</v>
      </c>
      <c r="F17" s="51">
        <v>0.0</v>
      </c>
      <c r="H17" s="51">
        <v>7.3673879E7</v>
      </c>
      <c r="I17" s="51">
        <v>0.0</v>
      </c>
      <c r="J17" s="51">
        <v>72218.0</v>
      </c>
      <c r="L17" s="52">
        <f>IFERROR(__xludf.DUMMYFUNCTION("INDEX(GOOGLEFINANCE(""INDEXSP:.INX"", ""close"", B17), 2, 2)"),5728.8)</f>
        <v>5728.8</v>
      </c>
      <c r="N17" s="53">
        <f t="shared" si="2"/>
        <v>72218</v>
      </c>
      <c r="P17" s="53">
        <f t="shared" si="4"/>
        <v>225302566</v>
      </c>
      <c r="R17" s="54">
        <f t="shared" si="3"/>
        <v>8132.526956</v>
      </c>
    </row>
    <row r="18">
      <c r="A18" s="50"/>
      <c r="B18" s="50">
        <v>45627.0</v>
      </c>
      <c r="C18" s="51">
        <f t="shared" si="1"/>
        <v>285287096</v>
      </c>
      <c r="D18" s="51">
        <v>2.0339474E8</v>
      </c>
      <c r="E18" s="51">
        <v>500000.0</v>
      </c>
      <c r="F18" s="51">
        <v>0.0</v>
      </c>
      <c r="H18" s="51">
        <v>8.1892356E7</v>
      </c>
      <c r="I18" s="51">
        <v>3500000.0</v>
      </c>
      <c r="J18" s="51">
        <v>386882.0</v>
      </c>
      <c r="L18" s="52">
        <f>IFERROR(__xludf.DUMMYFUNCTION("INDEX(GOOGLEFINANCE(""INDEXSP:.INX"", ""close"", B18), 2, 2)"),6047.15)</f>
        <v>6047.15</v>
      </c>
      <c r="N18" s="53">
        <f t="shared" si="2"/>
        <v>386882</v>
      </c>
      <c r="P18" s="53">
        <f t="shared" si="4"/>
        <v>239817096</v>
      </c>
      <c r="R18" s="54">
        <f t="shared" si="3"/>
        <v>8656.443787</v>
      </c>
    </row>
    <row r="19">
      <c r="A19" s="50"/>
      <c r="B19" s="50">
        <v>45658.0</v>
      </c>
      <c r="C19" s="51">
        <f t="shared" si="1"/>
        <v>302336040</v>
      </c>
      <c r="D19" s="51">
        <v>2.05684316E8</v>
      </c>
      <c r="E19" s="51">
        <v>500000.0</v>
      </c>
      <c r="F19" s="51">
        <v>112674.0</v>
      </c>
      <c r="H19" s="51">
        <v>9.6651724E7</v>
      </c>
      <c r="I19" s="51">
        <v>1.5E7</v>
      </c>
      <c r="J19" s="51">
        <v>0.0</v>
      </c>
      <c r="L19" s="52">
        <f>IFERROR(__xludf.DUMMYFUNCTION("INDEX(GOOGLEFINANCE(""INDEXSP:.INX"", ""close"", B19), 2, 2)"),5868.55)</f>
        <v>5868.55</v>
      </c>
      <c r="N19" s="53">
        <f t="shared" si="2"/>
        <v>112674</v>
      </c>
      <c r="P19" s="53">
        <f t="shared" si="4"/>
        <v>241366040</v>
      </c>
      <c r="R19" s="54">
        <f t="shared" si="3"/>
        <v>8712.354508</v>
      </c>
    </row>
    <row r="20">
      <c r="A20" s="50"/>
      <c r="B20" s="50">
        <v>45689.0</v>
      </c>
      <c r="C20" s="51">
        <f t="shared" si="1"/>
        <v>252364704</v>
      </c>
      <c r="D20" s="51">
        <v>1.54321718E8</v>
      </c>
      <c r="E20" s="51">
        <v>500000.0</v>
      </c>
      <c r="F20" s="51">
        <v>0.0</v>
      </c>
      <c r="H20" s="51">
        <v>9.8042986E7</v>
      </c>
      <c r="I20" s="51">
        <v>2000000.0</v>
      </c>
      <c r="J20" s="51">
        <v>42151.0</v>
      </c>
      <c r="L20" s="52">
        <f>IFERROR(__xludf.DUMMYFUNCTION("INDEX(GOOGLEFINANCE(""INDEXSP:.INX"", ""close"", B20), 2, 2)"),5994.57)</f>
        <v>5994.57</v>
      </c>
      <c r="N20" s="53">
        <f t="shared" si="2"/>
        <v>42151</v>
      </c>
      <c r="P20" s="53">
        <f t="shared" si="4"/>
        <v>188894704</v>
      </c>
      <c r="R20" s="54">
        <f t="shared" si="3"/>
        <v>6818.347875</v>
      </c>
    </row>
    <row r="21">
      <c r="A21" s="50"/>
      <c r="B21" s="50">
        <v>45717.0</v>
      </c>
      <c r="C21" s="51">
        <f t="shared" si="1"/>
        <v>248004265</v>
      </c>
      <c r="D21" s="51">
        <v>1.55999902E8</v>
      </c>
      <c r="E21" s="51">
        <v>1.0E7</v>
      </c>
      <c r="F21" s="51">
        <v>0.0</v>
      </c>
      <c r="H21" s="51">
        <v>9.2004363E7</v>
      </c>
      <c r="I21" s="51">
        <v>-5000000.0</v>
      </c>
      <c r="J21" s="51">
        <v>36487.0</v>
      </c>
      <c r="L21" s="52">
        <f>IFERROR(__xludf.DUMMYFUNCTION("INDEX(GOOGLEFINANCE(""INDEXSP:.INX"", ""close"", B21), 2, 2)"),5849.72)</f>
        <v>5849.72</v>
      </c>
      <c r="N21" s="53">
        <f t="shared" si="2"/>
        <v>36487</v>
      </c>
      <c r="P21" s="53">
        <f t="shared" si="4"/>
        <v>179534265</v>
      </c>
      <c r="R21" s="54">
        <f t="shared" si="3"/>
        <v>6480.473239</v>
      </c>
    </row>
    <row r="22">
      <c r="A22" s="50"/>
      <c r="B22" s="50">
        <v>45748.0</v>
      </c>
      <c r="C22" s="51">
        <f t="shared" si="1"/>
        <v>258118252</v>
      </c>
      <c r="D22" s="51">
        <v>1.65874253E8</v>
      </c>
      <c r="E22" s="51">
        <v>1500000.0</v>
      </c>
      <c r="F22" s="51">
        <v>119901.0</v>
      </c>
      <c r="H22" s="51">
        <v>9.2243999E7</v>
      </c>
      <c r="I22" s="51">
        <v>3000000.0</v>
      </c>
      <c r="J22" s="51">
        <v>357769.0</v>
      </c>
      <c r="L22" s="52">
        <f>IFERROR(__xludf.DUMMYFUNCTION("INDEX(GOOGLEFINANCE(""INDEXSP:.INX"", ""close"", B22), 2, 2)"),5633.07)</f>
        <v>5633.07</v>
      </c>
      <c r="N22" s="53">
        <f t="shared" si="2"/>
        <v>477670</v>
      </c>
      <c r="P22" s="53">
        <f t="shared" si="4"/>
        <v>185148252</v>
      </c>
      <c r="R22" s="54">
        <f t="shared" si="3"/>
        <v>6683.115851</v>
      </c>
    </row>
    <row r="23">
      <c r="A23" s="50"/>
      <c r="B23" s="50">
        <v>45778.0</v>
      </c>
      <c r="C23" s="51">
        <f t="shared" si="1"/>
        <v>307691000</v>
      </c>
      <c r="D23" s="51">
        <v>2.07731921E8</v>
      </c>
      <c r="E23" s="51">
        <v>800000.0</v>
      </c>
      <c r="F23" s="51">
        <v>0.0</v>
      </c>
      <c r="H23" s="51">
        <v>9.9959079E7</v>
      </c>
      <c r="I23" s="51">
        <v>8500000.0</v>
      </c>
      <c r="J23" s="51">
        <v>470.0</v>
      </c>
      <c r="L23" s="52">
        <f>IFERROR(__xludf.DUMMYFUNCTION("INDEX(GOOGLEFINANCE(""INDEXSP:.INX"", ""close"", B23), 2, 2)"),5604.14)</f>
        <v>5604.14</v>
      </c>
      <c r="N23" s="53">
        <f t="shared" si="2"/>
        <v>470</v>
      </c>
      <c r="P23" s="53">
        <f t="shared" si="4"/>
        <v>225421000</v>
      </c>
      <c r="R23" s="54">
        <f t="shared" si="3"/>
        <v>8136.801952</v>
      </c>
    </row>
    <row r="24">
      <c r="A24" s="50"/>
      <c r="B24" s="50">
        <v>45809.0</v>
      </c>
      <c r="C24" s="51">
        <f t="shared" si="1"/>
        <v>314983749</v>
      </c>
      <c r="D24" s="51">
        <v>2.11857826E8</v>
      </c>
      <c r="E24" s="51">
        <v>0.0</v>
      </c>
      <c r="F24" s="51">
        <v>0.0</v>
      </c>
      <c r="H24" s="51">
        <v>1.03125923E8</v>
      </c>
      <c r="I24" s="51">
        <v>3000000.0</v>
      </c>
      <c r="J24" s="51">
        <v>494.0</v>
      </c>
      <c r="L24" s="52">
        <f>IFERROR(__xludf.DUMMYFUNCTION("INDEX(GOOGLEFINANCE(""INDEXSP:.INX"", ""close"", B24), 2, 2)"),5935.94)</f>
        <v>5935.94</v>
      </c>
      <c r="N24" s="53">
        <f t="shared" si="2"/>
        <v>494</v>
      </c>
      <c r="P24" s="53">
        <f t="shared" si="4"/>
        <v>229713749</v>
      </c>
      <c r="R24" s="54">
        <f t="shared" si="3"/>
        <v>8291.753126</v>
      </c>
    </row>
    <row r="25">
      <c r="A25" s="50"/>
      <c r="B25" s="50">
        <v>45839.0</v>
      </c>
      <c r="C25" s="51">
        <f t="shared" si="1"/>
        <v>356133702</v>
      </c>
      <c r="D25" s="51">
        <v>1.33915483E8</v>
      </c>
      <c r="E25" s="51">
        <v>0.0</v>
      </c>
      <c r="F25" s="51">
        <v>116146.0</v>
      </c>
      <c r="H25" s="51">
        <v>2.22218219E8</v>
      </c>
      <c r="I25" s="51">
        <v>3000000.0</v>
      </c>
      <c r="J25" s="51">
        <v>607795.0</v>
      </c>
      <c r="L25" s="52">
        <f>IFERROR(__xludf.DUMMYFUNCTION("INDEX(GOOGLEFINANCE(""INDEXSP:.INX"", ""close"", B25), 2, 2)"),6198.01)</f>
        <v>6198.01</v>
      </c>
      <c r="N25" s="53">
        <f t="shared" si="2"/>
        <v>723941</v>
      </c>
      <c r="P25" s="53">
        <f t="shared" si="4"/>
        <v>267863702</v>
      </c>
      <c r="R25" s="54">
        <f t="shared" si="3"/>
        <v>9668.814766</v>
      </c>
    </row>
    <row r="26">
      <c r="A26" s="50"/>
      <c r="B26" s="50">
        <v>45870.0</v>
      </c>
      <c r="C26" s="51">
        <f t="shared" si="1"/>
        <v>342316174</v>
      </c>
      <c r="D26" s="51">
        <v>1.51543702E8</v>
      </c>
      <c r="E26" s="51">
        <v>0.0</v>
      </c>
      <c r="F26" s="51">
        <v>0.0</v>
      </c>
      <c r="H26" s="51">
        <v>1.90772472E8</v>
      </c>
      <c r="I26" s="51">
        <v>0.0</v>
      </c>
      <c r="J26" s="51">
        <v>499.0</v>
      </c>
      <c r="L26" s="52">
        <f>IFERROR(__xludf.DUMMYFUNCTION("INDEX(GOOGLEFINANCE(""INDEXSP:.INX"", ""close"", B26), 2, 2)"),6238.01)</f>
        <v>6238.01</v>
      </c>
      <c r="N26" s="53">
        <f t="shared" si="2"/>
        <v>499</v>
      </c>
      <c r="P26" s="53">
        <f t="shared" si="4"/>
        <v>254046174</v>
      </c>
      <c r="R26" s="54">
        <f t="shared" si="3"/>
        <v>9170.056936</v>
      </c>
    </row>
    <row r="27">
      <c r="A27" s="50"/>
      <c r="B27" s="50">
        <v>45901.0</v>
      </c>
      <c r="C27" s="51">
        <f t="shared" si="1"/>
        <v>408484314</v>
      </c>
      <c r="D27" s="51">
        <v>2.05328964E8</v>
      </c>
      <c r="E27" s="51">
        <v>8500000.0</v>
      </c>
      <c r="F27" s="51">
        <v>0.0</v>
      </c>
      <c r="H27" s="51">
        <v>2.0315535E8</v>
      </c>
      <c r="I27" s="51">
        <v>3000000.0</v>
      </c>
      <c r="J27" s="51">
        <v>500.0</v>
      </c>
      <c r="L27" s="52">
        <f>IFERROR(__xludf.DUMMYFUNCTION("INDEX(GOOGLEFINANCE(""INDEXSP:.INX"", ""close"", B27), 2, 2)"),6415.54)</f>
        <v>6415.54</v>
      </c>
      <c r="N27" s="53">
        <f t="shared" si="2"/>
        <v>500</v>
      </c>
      <c r="P27" s="53">
        <f t="shared" si="4"/>
        <v>308714314</v>
      </c>
      <c r="R27" s="54">
        <f t="shared" si="3"/>
        <v>11143.35946</v>
      </c>
    </row>
    <row r="28">
      <c r="A28" s="50"/>
      <c r="B28" s="50">
        <v>45931.0</v>
      </c>
      <c r="C28" s="51">
        <f t="shared" si="1"/>
        <v>416809144</v>
      </c>
      <c r="D28" s="51">
        <v>1.98408122E8</v>
      </c>
      <c r="E28" s="51">
        <v>0.0</v>
      </c>
      <c r="F28" s="51">
        <v>119985.0</v>
      </c>
      <c r="H28" s="51">
        <v>2.18401022E8</v>
      </c>
      <c r="I28" s="51">
        <v>1000000.0</v>
      </c>
      <c r="J28" s="51">
        <v>108133.0</v>
      </c>
      <c r="L28" s="52">
        <f>IFERROR(__xludf.DUMMYFUNCTION("INDEX(GOOGLEFINANCE(""INDEXSP:.INX"", ""close"", B28), 2, 2)"),6711.2)</f>
        <v>6711.2</v>
      </c>
      <c r="N28" s="53">
        <f t="shared" si="2"/>
        <v>228118</v>
      </c>
      <c r="P28" s="53">
        <f t="shared" si="4"/>
        <v>316039144</v>
      </c>
      <c r="R28" s="54">
        <f t="shared" si="3"/>
        <v>11407.7567</v>
      </c>
    </row>
    <row r="29">
      <c r="A29" s="50"/>
      <c r="B29" s="50">
        <v>45962.0</v>
      </c>
      <c r="C29" s="51">
        <f t="shared" si="1"/>
        <v>369262383</v>
      </c>
      <c r="D29" s="51">
        <v>1.99595366E8</v>
      </c>
      <c r="E29" s="51">
        <v>6000000.0</v>
      </c>
      <c r="F29" s="51">
        <v>0.0</v>
      </c>
      <c r="H29" s="51">
        <v>1.69667017E8</v>
      </c>
      <c r="I29" s="51">
        <v>-5000000.0</v>
      </c>
      <c r="J29" s="51">
        <v>505.0</v>
      </c>
      <c r="L29" s="52">
        <f>IFERROR(__xludf.DUMMYFUNCTION("INDEX(GOOGLEFINANCE(""INDEXSP:.INX"", ""close"", B29), 2, 2)"),6851.97)</f>
        <v>6851.97</v>
      </c>
      <c r="N29" s="53">
        <f t="shared" si="2"/>
        <v>505</v>
      </c>
      <c r="P29" s="53">
        <f t="shared" si="4"/>
        <v>267492383</v>
      </c>
      <c r="R29" s="54">
        <f t="shared" si="3"/>
        <v>9655.411626</v>
      </c>
    </row>
    <row r="30">
      <c r="A30" s="50"/>
      <c r="B30" s="50">
        <v>45992.0</v>
      </c>
      <c r="C30" s="51">
        <f t="shared" si="1"/>
        <v>380983458</v>
      </c>
      <c r="D30" s="51">
        <v>2.18096606E8</v>
      </c>
      <c r="E30" s="51">
        <v>2000000.0</v>
      </c>
      <c r="F30" s="51">
        <v>0.0</v>
      </c>
      <c r="H30" s="51">
        <v>1.62886852E8</v>
      </c>
      <c r="I30" s="51">
        <v>3000000.0</v>
      </c>
      <c r="J30" s="51">
        <v>806984.0</v>
      </c>
      <c r="L30" s="52">
        <f>IFERROR(__xludf.DUMMYFUNCTION("INDEX(GOOGLEFINANCE(""INDEXSP:.INX"", ""close"", B30), 2, 2)"),6812.63)</f>
        <v>6812.63</v>
      </c>
      <c r="N30" s="53">
        <f t="shared" si="2"/>
        <v>806984</v>
      </c>
      <c r="P30" s="53">
        <f t="shared" si="4"/>
        <v>274213458</v>
      </c>
      <c r="R30" s="54">
        <f t="shared" si="3"/>
        <v>9898.015715</v>
      </c>
    </row>
    <row r="31">
      <c r="A31" s="50"/>
      <c r="B31" s="50">
        <v>46023.0</v>
      </c>
      <c r="C31" s="51"/>
      <c r="D31" s="51"/>
      <c r="E31" s="51"/>
      <c r="F31" s="51"/>
      <c r="H31" s="51"/>
      <c r="I31" s="51"/>
      <c r="J31" s="55"/>
    </row>
    <row r="32">
      <c r="A32" s="50"/>
      <c r="B32" s="50">
        <v>46054.0</v>
      </c>
      <c r="C32" s="51"/>
      <c r="D32" s="51"/>
      <c r="E32" s="51"/>
      <c r="F32" s="51"/>
      <c r="H32" s="51"/>
      <c r="I32" s="51"/>
      <c r="J32" s="55"/>
    </row>
    <row r="33">
      <c r="A33" s="50"/>
      <c r="B33" s="50">
        <v>46082.0</v>
      </c>
      <c r="C33" s="51"/>
      <c r="D33" s="51"/>
      <c r="E33" s="51"/>
      <c r="F33" s="51"/>
      <c r="H33" s="51"/>
      <c r="I33" s="51"/>
      <c r="J33" s="55"/>
    </row>
    <row r="34">
      <c r="A34" s="50"/>
      <c r="B34" s="50">
        <v>46113.0</v>
      </c>
      <c r="C34" s="51"/>
      <c r="D34" s="51"/>
      <c r="E34" s="51"/>
      <c r="F34" s="51"/>
      <c r="H34" s="51"/>
      <c r="I34" s="51"/>
      <c r="J34" s="55"/>
    </row>
    <row r="35">
      <c r="A35" s="50"/>
      <c r="B35" s="50">
        <v>46143.0</v>
      </c>
      <c r="C35" s="51"/>
      <c r="D35" s="51"/>
      <c r="E35" s="51"/>
      <c r="F35" s="51"/>
      <c r="H35" s="51"/>
      <c r="I35" s="51"/>
      <c r="J35" s="55"/>
    </row>
    <row r="36">
      <c r="A36" s="50"/>
      <c r="B36" s="50">
        <v>46174.0</v>
      </c>
      <c r="C36" s="51"/>
      <c r="D36" s="51"/>
      <c r="E36" s="51"/>
      <c r="F36" s="51"/>
      <c r="H36" s="55"/>
      <c r="I36" s="51"/>
      <c r="J36" s="55"/>
    </row>
    <row r="37">
      <c r="A37" s="50"/>
      <c r="B37" s="50">
        <v>46204.0</v>
      </c>
      <c r="C37" s="51"/>
      <c r="D37" s="51"/>
      <c r="E37" s="51"/>
      <c r="F37" s="51"/>
      <c r="H37" s="55"/>
      <c r="I37" s="51"/>
      <c r="J37" s="55"/>
    </row>
    <row r="38">
      <c r="A38" s="50"/>
      <c r="B38" s="50">
        <v>46235.0</v>
      </c>
      <c r="C38" s="51"/>
      <c r="D38" s="51"/>
      <c r="E38" s="51"/>
      <c r="F38" s="51"/>
      <c r="H38" s="55"/>
      <c r="I38" s="51"/>
      <c r="J38" s="55"/>
    </row>
    <row r="39">
      <c r="A39" s="50"/>
      <c r="B39" s="50">
        <v>46266.0</v>
      </c>
      <c r="C39" s="51"/>
      <c r="D39" s="51"/>
      <c r="E39" s="51"/>
      <c r="F39" s="51"/>
      <c r="H39" s="55"/>
      <c r="I39" s="51"/>
      <c r="J39" s="55"/>
    </row>
    <row r="40">
      <c r="A40" s="50"/>
      <c r="B40" s="50">
        <v>46296.0</v>
      </c>
      <c r="C40" s="51"/>
      <c r="D40" s="51"/>
      <c r="E40" s="51"/>
      <c r="F40" s="51"/>
      <c r="H40" s="55"/>
      <c r="I40" s="51"/>
      <c r="J40" s="55"/>
    </row>
    <row r="41">
      <c r="A41" s="50"/>
      <c r="B41" s="50">
        <v>46327.0</v>
      </c>
      <c r="C41" s="51"/>
      <c r="D41" s="51"/>
      <c r="E41" s="51"/>
      <c r="F41" s="51"/>
      <c r="H41" s="55"/>
      <c r="I41" s="51"/>
      <c r="J41" s="55"/>
    </row>
    <row r="42">
      <c r="A42" s="50"/>
      <c r="B42" s="50">
        <v>46357.0</v>
      </c>
      <c r="C42" s="51"/>
      <c r="D42" s="51"/>
      <c r="E42" s="51"/>
      <c r="F42" s="51"/>
      <c r="H42" s="55"/>
      <c r="I42" s="55"/>
      <c r="J42" s="55"/>
    </row>
    <row r="43">
      <c r="A43" s="50"/>
      <c r="B43" s="50">
        <v>46388.0</v>
      </c>
      <c r="C43" s="51"/>
      <c r="D43" s="51"/>
      <c r="E43" s="51"/>
      <c r="F43" s="51"/>
      <c r="H43" s="55"/>
      <c r="I43" s="55"/>
      <c r="J43" s="55"/>
    </row>
    <row r="44">
      <c r="A44" s="50"/>
      <c r="B44" s="50">
        <v>46419.0</v>
      </c>
      <c r="C44" s="51"/>
      <c r="D44" s="51"/>
      <c r="E44" s="51"/>
      <c r="F44" s="51"/>
      <c r="H44" s="55"/>
      <c r="I44" s="55"/>
      <c r="J44" s="55"/>
    </row>
    <row r="45">
      <c r="A45" s="50"/>
      <c r="B45" s="50">
        <v>46447.0</v>
      </c>
      <c r="C45" s="51"/>
      <c r="D45" s="51"/>
      <c r="E45" s="51"/>
      <c r="F45" s="51"/>
      <c r="H45" s="55"/>
      <c r="I45" s="55"/>
      <c r="J45" s="55"/>
    </row>
    <row r="46">
      <c r="A46" s="50"/>
      <c r="B46" s="50">
        <v>46478.0</v>
      </c>
      <c r="C46" s="51"/>
      <c r="D46" s="51"/>
      <c r="E46" s="53"/>
      <c r="F46" s="53"/>
      <c r="H46" s="55"/>
      <c r="I46" s="55"/>
      <c r="J46" s="55"/>
    </row>
    <row r="47">
      <c r="A47" s="50"/>
      <c r="B47" s="50">
        <v>46508.0</v>
      </c>
      <c r="C47" s="51"/>
      <c r="D47" s="51"/>
      <c r="E47" s="53"/>
      <c r="F47" s="53"/>
      <c r="H47" s="55"/>
      <c r="I47" s="55"/>
      <c r="J47" s="55"/>
    </row>
    <row r="48">
      <c r="A48" s="50"/>
      <c r="B48" s="50">
        <v>46539.0</v>
      </c>
      <c r="C48" s="51"/>
      <c r="D48" s="51"/>
      <c r="E48" s="53"/>
      <c r="F48" s="53"/>
      <c r="H48" s="55"/>
      <c r="I48" s="55"/>
      <c r="J48" s="55"/>
    </row>
    <row r="49">
      <c r="A49" s="50"/>
      <c r="B49" s="50">
        <v>46569.0</v>
      </c>
      <c r="C49" s="51"/>
      <c r="D49" s="53"/>
      <c r="E49" s="53"/>
      <c r="F49" s="53"/>
      <c r="H49" s="55"/>
      <c r="I49" s="55"/>
      <c r="J49" s="55"/>
    </row>
    <row r="50">
      <c r="A50" s="50"/>
      <c r="B50" s="50">
        <v>46600.0</v>
      </c>
      <c r="C50" s="51"/>
      <c r="D50" s="53"/>
      <c r="E50" s="53"/>
      <c r="F50" s="53"/>
      <c r="H50" s="55"/>
      <c r="I50" s="55"/>
      <c r="J50" s="55"/>
    </row>
    <row r="51">
      <c r="A51" s="50"/>
      <c r="B51" s="50">
        <v>46631.0</v>
      </c>
      <c r="C51" s="51"/>
      <c r="D51" s="53"/>
      <c r="E51" s="53"/>
      <c r="F51" s="53"/>
      <c r="H51" s="55"/>
      <c r="I51" s="55"/>
      <c r="J51" s="55"/>
    </row>
    <row r="52">
      <c r="A52" s="50"/>
      <c r="B52" s="50">
        <v>46661.0</v>
      </c>
      <c r="C52" s="51"/>
      <c r="D52" s="53"/>
      <c r="E52" s="53"/>
      <c r="F52" s="53"/>
      <c r="H52" s="55"/>
      <c r="I52" s="55"/>
      <c r="J52" s="55"/>
    </row>
    <row r="53">
      <c r="A53" s="50"/>
      <c r="B53" s="50">
        <v>46692.0</v>
      </c>
      <c r="C53" s="51"/>
      <c r="D53" s="53"/>
      <c r="E53" s="53"/>
      <c r="F53" s="53"/>
      <c r="H53" s="55"/>
      <c r="I53" s="55"/>
      <c r="J53" s="55"/>
    </row>
    <row r="54">
      <c r="A54" s="50"/>
      <c r="B54" s="50">
        <v>46722.0</v>
      </c>
      <c r="C54" s="51"/>
      <c r="D54" s="53"/>
      <c r="E54" s="53"/>
      <c r="F54" s="53"/>
      <c r="H54" s="55"/>
      <c r="I54" s="55"/>
      <c r="J54" s="55"/>
    </row>
    <row r="55">
      <c r="A55" s="50"/>
      <c r="B55" s="50">
        <v>46753.0</v>
      </c>
      <c r="C55" s="51"/>
      <c r="D55" s="53"/>
      <c r="E55" s="53"/>
      <c r="F55" s="53"/>
      <c r="H55" s="55"/>
      <c r="I55" s="55"/>
      <c r="J55" s="55"/>
    </row>
    <row r="56">
      <c r="A56" s="50"/>
      <c r="B56" s="50">
        <v>46784.0</v>
      </c>
      <c r="C56" s="51"/>
      <c r="D56" s="53"/>
      <c r="E56" s="53"/>
      <c r="F56" s="53"/>
      <c r="H56" s="55"/>
      <c r="I56" s="55"/>
      <c r="J56" s="55"/>
    </row>
    <row r="57">
      <c r="A57" s="50"/>
      <c r="B57" s="50">
        <v>46813.0</v>
      </c>
      <c r="C57" s="51"/>
      <c r="D57" s="53"/>
      <c r="E57" s="53"/>
      <c r="F57" s="53"/>
      <c r="H57" s="55"/>
      <c r="I57" s="55"/>
      <c r="J57" s="55"/>
    </row>
    <row r="58">
      <c r="A58" s="50"/>
      <c r="B58" s="50">
        <v>46844.0</v>
      </c>
      <c r="C58" s="51"/>
      <c r="D58" s="53"/>
      <c r="E58" s="53"/>
      <c r="F58" s="53"/>
      <c r="H58" s="55"/>
      <c r="I58" s="55"/>
      <c r="J58" s="55"/>
    </row>
    <row r="59">
      <c r="A59" s="50"/>
      <c r="B59" s="50">
        <v>46874.0</v>
      </c>
      <c r="C59" s="51"/>
      <c r="D59" s="53"/>
      <c r="E59" s="53"/>
      <c r="F59" s="53"/>
      <c r="H59" s="55"/>
      <c r="I59" s="55"/>
      <c r="J59" s="55"/>
    </row>
    <row r="60">
      <c r="A60" s="50"/>
      <c r="B60" s="50">
        <v>46905.0</v>
      </c>
      <c r="C60" s="51"/>
      <c r="D60" s="53"/>
      <c r="E60" s="53"/>
      <c r="F60" s="53"/>
      <c r="H60" s="55"/>
      <c r="I60" s="55"/>
      <c r="J60" s="55"/>
    </row>
    <row r="61">
      <c r="A61" s="50"/>
      <c r="B61" s="50">
        <v>46935.0</v>
      </c>
      <c r="C61" s="51"/>
      <c r="D61" s="53"/>
      <c r="E61" s="53"/>
      <c r="F61" s="53"/>
      <c r="H61" s="55"/>
      <c r="I61" s="55"/>
      <c r="J61" s="55"/>
    </row>
    <row r="62">
      <c r="A62" s="50"/>
      <c r="B62" s="50">
        <v>46966.0</v>
      </c>
      <c r="C62" s="51"/>
      <c r="D62" s="53"/>
      <c r="E62" s="53"/>
      <c r="F62" s="53"/>
      <c r="H62" s="55"/>
      <c r="I62" s="55"/>
      <c r="J62" s="55"/>
    </row>
    <row r="63">
      <c r="A63" s="50"/>
      <c r="B63" s="50">
        <v>46997.0</v>
      </c>
      <c r="C63" s="51"/>
      <c r="D63" s="53"/>
      <c r="E63" s="53"/>
      <c r="F63" s="53"/>
      <c r="H63" s="55"/>
      <c r="I63" s="55"/>
      <c r="J63" s="55"/>
    </row>
    <row r="64">
      <c r="A64" s="50"/>
      <c r="B64" s="50">
        <v>47027.0</v>
      </c>
      <c r="C64" s="51"/>
      <c r="D64" s="53"/>
      <c r="E64" s="53"/>
      <c r="F64" s="53"/>
      <c r="H64" s="55"/>
      <c r="I64" s="55"/>
      <c r="J64" s="55"/>
    </row>
    <row r="65">
      <c r="A65" s="50"/>
      <c r="B65" s="50">
        <v>47058.0</v>
      </c>
      <c r="C65" s="51"/>
      <c r="D65" s="53"/>
      <c r="E65" s="53"/>
      <c r="F65" s="53"/>
      <c r="H65" s="55"/>
      <c r="I65" s="55"/>
      <c r="J65" s="55"/>
    </row>
    <row r="66">
      <c r="A66" s="50"/>
      <c r="B66" s="50">
        <v>47088.0</v>
      </c>
      <c r="C66" s="51"/>
      <c r="D66" s="53"/>
      <c r="E66" s="53"/>
      <c r="F66" s="53"/>
      <c r="H66" s="55"/>
      <c r="I66" s="55"/>
      <c r="J66" s="55"/>
    </row>
    <row r="67">
      <c r="A67" s="50"/>
      <c r="B67" s="50">
        <v>47119.0</v>
      </c>
      <c r="C67" s="51"/>
      <c r="D67" s="53"/>
      <c r="E67" s="53"/>
      <c r="F67" s="53"/>
      <c r="H67" s="55"/>
      <c r="I67" s="55"/>
      <c r="J67" s="55"/>
    </row>
    <row r="68">
      <c r="A68" s="50"/>
      <c r="B68" s="50">
        <v>47150.0</v>
      </c>
      <c r="C68" s="51"/>
      <c r="D68" s="53"/>
      <c r="E68" s="53"/>
      <c r="F68" s="53"/>
      <c r="H68" s="55"/>
      <c r="I68" s="55"/>
      <c r="J68" s="55"/>
    </row>
    <row r="69">
      <c r="A69" s="50"/>
      <c r="B69" s="50">
        <v>47178.0</v>
      </c>
      <c r="C69" s="51"/>
      <c r="D69" s="53"/>
      <c r="E69" s="53"/>
      <c r="F69" s="53"/>
      <c r="H69" s="55"/>
      <c r="I69" s="55"/>
      <c r="J69" s="55"/>
    </row>
    <row r="70">
      <c r="A70" s="50"/>
      <c r="B70" s="50">
        <v>47209.0</v>
      </c>
      <c r="C70" s="51"/>
      <c r="D70" s="53"/>
      <c r="E70" s="53"/>
      <c r="F70" s="53"/>
      <c r="H70" s="55"/>
      <c r="I70" s="55"/>
      <c r="J70" s="55"/>
    </row>
    <row r="71">
      <c r="A71" s="50"/>
      <c r="B71" s="50">
        <v>47239.0</v>
      </c>
      <c r="C71" s="51"/>
      <c r="D71" s="53"/>
      <c r="E71" s="53"/>
      <c r="F71" s="53"/>
      <c r="H71" s="55"/>
      <c r="I71" s="55"/>
      <c r="J71" s="55"/>
    </row>
    <row r="72">
      <c r="A72" s="50"/>
      <c r="B72" s="50">
        <v>47270.0</v>
      </c>
      <c r="C72" s="51"/>
      <c r="D72" s="53"/>
      <c r="E72" s="53"/>
      <c r="F72" s="53"/>
      <c r="H72" s="55"/>
      <c r="I72" s="55"/>
      <c r="J72" s="55"/>
    </row>
    <row r="73">
      <c r="A73" s="50"/>
      <c r="B73" s="50">
        <v>47300.0</v>
      </c>
      <c r="C73" s="51"/>
      <c r="D73" s="53"/>
      <c r="E73" s="53"/>
      <c r="F73" s="53"/>
      <c r="H73" s="55"/>
      <c r="I73" s="55"/>
      <c r="J73" s="55"/>
    </row>
    <row r="74">
      <c r="A74" s="50"/>
      <c r="B74" s="50">
        <v>47331.0</v>
      </c>
      <c r="C74" s="51"/>
      <c r="D74" s="53"/>
      <c r="E74" s="53"/>
      <c r="F74" s="53"/>
      <c r="H74" s="55"/>
      <c r="I74" s="55"/>
      <c r="J74" s="55"/>
    </row>
    <row r="75">
      <c r="A75" s="50"/>
      <c r="B75" s="50">
        <v>47362.0</v>
      </c>
      <c r="C75" s="51"/>
      <c r="D75" s="53"/>
      <c r="E75" s="53"/>
      <c r="F75" s="53"/>
      <c r="H75" s="55"/>
      <c r="I75" s="55"/>
      <c r="J75" s="55"/>
    </row>
    <row r="76">
      <c r="A76" s="50"/>
      <c r="B76" s="50">
        <v>47392.0</v>
      </c>
      <c r="C76" s="51"/>
      <c r="D76" s="53"/>
      <c r="E76" s="53"/>
      <c r="F76" s="53"/>
      <c r="H76" s="55"/>
      <c r="I76" s="55"/>
      <c r="J76" s="55"/>
    </row>
    <row r="77">
      <c r="A77" s="50"/>
      <c r="B77" s="50">
        <v>47423.0</v>
      </c>
      <c r="C77" s="51"/>
      <c r="D77" s="53"/>
      <c r="E77" s="53"/>
      <c r="F77" s="53"/>
      <c r="H77" s="55"/>
      <c r="I77" s="55"/>
      <c r="J77" s="55"/>
    </row>
    <row r="78">
      <c r="A78" s="50"/>
      <c r="B78" s="50">
        <v>47453.0</v>
      </c>
      <c r="C78" s="51"/>
      <c r="D78" s="53"/>
      <c r="E78" s="53"/>
      <c r="F78" s="53"/>
      <c r="H78" s="55"/>
      <c r="I78" s="55"/>
      <c r="J78" s="55"/>
    </row>
    <row r="79">
      <c r="A79" s="50"/>
      <c r="B79" s="50">
        <v>47484.0</v>
      </c>
      <c r="C79" s="51"/>
      <c r="D79" s="53"/>
      <c r="E79" s="53"/>
      <c r="F79" s="53"/>
      <c r="H79" s="55"/>
      <c r="I79" s="55"/>
      <c r="J79" s="55"/>
    </row>
    <row r="80">
      <c r="A80" s="44"/>
      <c r="B80" s="44"/>
    </row>
    <row r="81">
      <c r="A81" s="44"/>
      <c r="B81" s="44"/>
    </row>
    <row r="82">
      <c r="A82" s="44"/>
      <c r="B82" s="44"/>
    </row>
    <row r="83">
      <c r="A83" s="44"/>
      <c r="B83" s="44"/>
    </row>
    <row r="84">
      <c r="A84" s="44"/>
      <c r="B84" s="44"/>
    </row>
    <row r="85">
      <c r="A85" s="44"/>
      <c r="B85" s="44"/>
    </row>
    <row r="86">
      <c r="A86" s="44"/>
      <c r="B86" s="44"/>
    </row>
    <row r="87">
      <c r="A87" s="44"/>
      <c r="B87" s="44"/>
    </row>
    <row r="88">
      <c r="A88" s="44"/>
      <c r="B88" s="44"/>
    </row>
    <row r="89">
      <c r="A89" s="44"/>
      <c r="B89" s="44"/>
    </row>
    <row r="90">
      <c r="A90" s="44"/>
      <c r="B90" s="44"/>
    </row>
    <row r="91">
      <c r="A91" s="44"/>
      <c r="B91" s="44"/>
    </row>
    <row r="92">
      <c r="A92" s="44"/>
      <c r="B92" s="44"/>
    </row>
    <row r="93">
      <c r="A93" s="44"/>
      <c r="B93" s="44"/>
    </row>
    <row r="94">
      <c r="A94" s="44"/>
      <c r="B94" s="44"/>
    </row>
    <row r="95">
      <c r="A95" s="44"/>
      <c r="B95" s="44"/>
    </row>
    <row r="96">
      <c r="A96" s="44"/>
      <c r="B96" s="44"/>
    </row>
    <row r="97">
      <c r="A97" s="44"/>
      <c r="B97" s="44"/>
    </row>
    <row r="98">
      <c r="A98" s="44"/>
      <c r="B98" s="44"/>
    </row>
    <row r="99">
      <c r="A99" s="44"/>
      <c r="B99" s="44"/>
    </row>
    <row r="100">
      <c r="A100" s="44"/>
      <c r="B100" s="44"/>
    </row>
    <row r="101">
      <c r="A101" s="44"/>
      <c r="B101" s="44"/>
    </row>
    <row r="102">
      <c r="A102" s="44"/>
      <c r="B102" s="44"/>
    </row>
    <row r="103">
      <c r="A103" s="44"/>
      <c r="B103" s="44"/>
    </row>
    <row r="104">
      <c r="A104" s="44"/>
      <c r="B104" s="44"/>
    </row>
    <row r="105">
      <c r="A105" s="44"/>
      <c r="B105" s="44"/>
    </row>
    <row r="106">
      <c r="A106" s="44"/>
      <c r="B106" s="44"/>
    </row>
    <row r="107">
      <c r="A107" s="44"/>
      <c r="B107" s="44"/>
    </row>
    <row r="108">
      <c r="A108" s="44"/>
      <c r="B108" s="44"/>
    </row>
    <row r="109">
      <c r="A109" s="44"/>
      <c r="B109" s="44"/>
    </row>
    <row r="110">
      <c r="A110" s="44"/>
      <c r="B110" s="44"/>
    </row>
    <row r="111">
      <c r="A111" s="44"/>
      <c r="B111" s="44"/>
    </row>
    <row r="112">
      <c r="A112" s="44"/>
      <c r="B112" s="44"/>
    </row>
    <row r="113">
      <c r="A113" s="44"/>
      <c r="B113" s="44"/>
    </row>
    <row r="114">
      <c r="A114" s="44"/>
      <c r="B114" s="44"/>
    </row>
    <row r="115">
      <c r="A115" s="44"/>
      <c r="B115" s="44"/>
    </row>
    <row r="116">
      <c r="A116" s="44"/>
      <c r="B116" s="44"/>
    </row>
    <row r="117">
      <c r="A117" s="44"/>
      <c r="B117" s="44"/>
    </row>
    <row r="118">
      <c r="A118" s="44"/>
      <c r="B118" s="44"/>
    </row>
    <row r="119">
      <c r="A119" s="44"/>
      <c r="B119" s="44"/>
    </row>
    <row r="120">
      <c r="A120" s="44"/>
      <c r="B120" s="44"/>
    </row>
    <row r="121">
      <c r="A121" s="44"/>
      <c r="B121" s="44"/>
    </row>
    <row r="122">
      <c r="A122" s="44"/>
      <c r="B122" s="44"/>
    </row>
    <row r="123">
      <c r="A123" s="44"/>
      <c r="B123" s="44"/>
    </row>
    <row r="124">
      <c r="A124" s="44"/>
      <c r="B124" s="44"/>
    </row>
    <row r="125">
      <c r="A125" s="44"/>
      <c r="B125" s="44"/>
    </row>
    <row r="126">
      <c r="A126" s="44"/>
      <c r="B126" s="44"/>
    </row>
    <row r="127">
      <c r="A127" s="44"/>
      <c r="B127" s="44"/>
    </row>
    <row r="128">
      <c r="A128" s="44"/>
      <c r="B128" s="44"/>
    </row>
    <row r="129">
      <c r="A129" s="44"/>
      <c r="B129" s="44"/>
    </row>
    <row r="130">
      <c r="A130" s="44"/>
      <c r="B130" s="44"/>
    </row>
    <row r="131">
      <c r="A131" s="44"/>
      <c r="B131" s="44"/>
    </row>
    <row r="132">
      <c r="A132" s="44"/>
      <c r="B132" s="44"/>
    </row>
    <row r="133">
      <c r="A133" s="44"/>
      <c r="B133" s="44"/>
    </row>
    <row r="134">
      <c r="A134" s="44"/>
      <c r="B134" s="44"/>
    </row>
    <row r="135">
      <c r="A135" s="44"/>
      <c r="B135" s="44"/>
    </row>
    <row r="136">
      <c r="A136" s="44"/>
      <c r="B136" s="44"/>
    </row>
    <row r="137">
      <c r="A137" s="44"/>
      <c r="B137" s="44"/>
    </row>
    <row r="138">
      <c r="A138" s="44"/>
      <c r="B138" s="44"/>
    </row>
    <row r="139">
      <c r="A139" s="44"/>
      <c r="B139" s="44"/>
    </row>
    <row r="140">
      <c r="A140" s="44"/>
      <c r="B140" s="44"/>
    </row>
    <row r="141">
      <c r="A141" s="44"/>
      <c r="B141" s="44"/>
    </row>
    <row r="142">
      <c r="A142" s="44"/>
      <c r="B142" s="44"/>
    </row>
    <row r="143">
      <c r="A143" s="44"/>
      <c r="B143" s="44"/>
    </row>
    <row r="144">
      <c r="A144" s="44"/>
      <c r="B144" s="44"/>
    </row>
    <row r="145">
      <c r="A145" s="44"/>
      <c r="B145" s="44"/>
    </row>
    <row r="146">
      <c r="A146" s="44"/>
      <c r="B146" s="44"/>
    </row>
    <row r="147">
      <c r="A147" s="44"/>
      <c r="B147" s="44"/>
    </row>
    <row r="148">
      <c r="A148" s="44"/>
      <c r="B148" s="44"/>
    </row>
    <row r="149">
      <c r="A149" s="44"/>
      <c r="B149" s="44"/>
    </row>
    <row r="150">
      <c r="A150" s="44"/>
      <c r="B150" s="44"/>
    </row>
    <row r="151">
      <c r="A151" s="44"/>
      <c r="B151" s="44"/>
    </row>
    <row r="152">
      <c r="A152" s="44"/>
      <c r="B152" s="44"/>
    </row>
    <row r="153">
      <c r="A153" s="44"/>
      <c r="B153" s="44"/>
    </row>
    <row r="154">
      <c r="A154" s="44"/>
      <c r="B154" s="44"/>
    </row>
    <row r="155">
      <c r="A155" s="44"/>
      <c r="B155" s="44"/>
    </row>
    <row r="156">
      <c r="A156" s="44"/>
      <c r="B156" s="44"/>
    </row>
    <row r="157">
      <c r="A157" s="44"/>
      <c r="B157" s="44"/>
    </row>
    <row r="158">
      <c r="A158" s="44"/>
      <c r="B158" s="44"/>
    </row>
    <row r="159">
      <c r="A159" s="44"/>
      <c r="B159" s="44"/>
    </row>
    <row r="160">
      <c r="A160" s="44"/>
      <c r="B160" s="44"/>
    </row>
    <row r="161">
      <c r="A161" s="44"/>
      <c r="B161" s="44"/>
    </row>
    <row r="162">
      <c r="A162" s="44"/>
      <c r="B162" s="44"/>
    </row>
    <row r="163">
      <c r="A163" s="44"/>
      <c r="B163" s="44"/>
    </row>
    <row r="164">
      <c r="A164" s="44"/>
      <c r="B164" s="44"/>
    </row>
    <row r="165">
      <c r="A165" s="44"/>
      <c r="B165" s="44"/>
    </row>
    <row r="166">
      <c r="A166" s="44"/>
      <c r="B166" s="44"/>
    </row>
    <row r="167">
      <c r="A167" s="44"/>
      <c r="B167" s="44"/>
    </row>
    <row r="168">
      <c r="A168" s="44"/>
      <c r="B168" s="44"/>
    </row>
    <row r="169">
      <c r="A169" s="44"/>
      <c r="B169" s="44"/>
    </row>
    <row r="170">
      <c r="A170" s="44"/>
      <c r="B170" s="44"/>
    </row>
    <row r="171">
      <c r="A171" s="44"/>
      <c r="B171" s="44"/>
    </row>
    <row r="172">
      <c r="A172" s="44"/>
      <c r="B172" s="44"/>
    </row>
    <row r="173">
      <c r="A173" s="44"/>
      <c r="B173" s="44"/>
    </row>
    <row r="174">
      <c r="A174" s="44"/>
      <c r="B174" s="44"/>
    </row>
    <row r="175">
      <c r="A175" s="44"/>
      <c r="B175" s="44"/>
    </row>
    <row r="176">
      <c r="A176" s="44"/>
      <c r="B176" s="44"/>
    </row>
    <row r="177">
      <c r="A177" s="44"/>
      <c r="B177" s="44"/>
    </row>
    <row r="178">
      <c r="A178" s="44"/>
      <c r="B178" s="44"/>
    </row>
    <row r="179">
      <c r="A179" s="44"/>
      <c r="B179" s="44"/>
    </row>
    <row r="180">
      <c r="A180" s="44"/>
      <c r="B180" s="44"/>
    </row>
    <row r="181">
      <c r="A181" s="44"/>
      <c r="B181" s="44"/>
    </row>
    <row r="182">
      <c r="A182" s="44"/>
      <c r="B182" s="44"/>
    </row>
    <row r="183">
      <c r="A183" s="44"/>
      <c r="B183" s="44"/>
    </row>
    <row r="184">
      <c r="A184" s="44"/>
      <c r="B184" s="44"/>
    </row>
    <row r="185">
      <c r="A185" s="44"/>
      <c r="B185" s="44"/>
    </row>
    <row r="186">
      <c r="A186" s="44"/>
      <c r="B186" s="44"/>
    </row>
    <row r="187">
      <c r="A187" s="44"/>
      <c r="B187" s="44"/>
    </row>
    <row r="188">
      <c r="A188" s="44"/>
      <c r="B188" s="44"/>
    </row>
    <row r="189">
      <c r="A189" s="44"/>
      <c r="B189" s="44"/>
    </row>
    <row r="190">
      <c r="A190" s="44"/>
      <c r="B190" s="44"/>
    </row>
    <row r="191">
      <c r="A191" s="44"/>
      <c r="B191" s="44"/>
    </row>
    <row r="192">
      <c r="A192" s="44"/>
      <c r="B192" s="44"/>
    </row>
    <row r="193">
      <c r="A193" s="44"/>
      <c r="B193" s="44"/>
    </row>
    <row r="194">
      <c r="A194" s="44"/>
      <c r="B194" s="44"/>
    </row>
    <row r="195">
      <c r="A195" s="44"/>
      <c r="B195" s="44"/>
    </row>
    <row r="196">
      <c r="A196" s="44"/>
      <c r="B196" s="44"/>
    </row>
    <row r="197">
      <c r="A197" s="44"/>
      <c r="B197" s="44"/>
    </row>
    <row r="198">
      <c r="A198" s="44"/>
      <c r="B198" s="44"/>
    </row>
    <row r="199">
      <c r="A199" s="44"/>
      <c r="B199" s="44"/>
    </row>
    <row r="200">
      <c r="A200" s="44"/>
      <c r="B200" s="44"/>
    </row>
    <row r="201">
      <c r="A201" s="44"/>
      <c r="B201" s="44"/>
    </row>
    <row r="202">
      <c r="A202" s="44"/>
      <c r="B202" s="44"/>
    </row>
    <row r="203">
      <c r="A203" s="44"/>
      <c r="B203" s="44"/>
    </row>
    <row r="204">
      <c r="A204" s="44"/>
      <c r="B204" s="44"/>
    </row>
    <row r="205">
      <c r="A205" s="44"/>
      <c r="B205" s="44"/>
    </row>
    <row r="206">
      <c r="A206" s="44"/>
      <c r="B206" s="44"/>
    </row>
    <row r="207">
      <c r="A207" s="44"/>
      <c r="B207" s="44"/>
    </row>
    <row r="208">
      <c r="A208" s="44"/>
      <c r="B208" s="44"/>
    </row>
    <row r="209">
      <c r="A209" s="44"/>
      <c r="B209" s="44"/>
    </row>
    <row r="210">
      <c r="A210" s="44"/>
      <c r="B210" s="44"/>
    </row>
    <row r="211">
      <c r="A211" s="44"/>
      <c r="B211" s="44"/>
    </row>
    <row r="212">
      <c r="A212" s="44"/>
      <c r="B212" s="44"/>
    </row>
    <row r="213">
      <c r="A213" s="44"/>
      <c r="B213" s="44"/>
    </row>
    <row r="214">
      <c r="A214" s="44"/>
      <c r="B214" s="44"/>
    </row>
    <row r="215">
      <c r="A215" s="44"/>
      <c r="B215" s="44"/>
    </row>
    <row r="216">
      <c r="A216" s="44"/>
      <c r="B216" s="44"/>
    </row>
    <row r="217">
      <c r="A217" s="44"/>
      <c r="B217" s="44"/>
    </row>
    <row r="218">
      <c r="A218" s="44"/>
      <c r="B218" s="44"/>
    </row>
    <row r="219">
      <c r="A219" s="44"/>
      <c r="B219" s="44"/>
    </row>
    <row r="220">
      <c r="A220" s="44"/>
      <c r="B220" s="44"/>
    </row>
    <row r="221">
      <c r="A221" s="44"/>
      <c r="B221" s="44"/>
    </row>
    <row r="222">
      <c r="A222" s="44"/>
      <c r="B222" s="44"/>
    </row>
    <row r="223">
      <c r="A223" s="44"/>
      <c r="B223" s="44"/>
    </row>
    <row r="224">
      <c r="A224" s="44"/>
      <c r="B224" s="44"/>
    </row>
    <row r="225">
      <c r="A225" s="44"/>
      <c r="B225" s="44"/>
    </row>
    <row r="226">
      <c r="A226" s="44"/>
      <c r="B226" s="44"/>
    </row>
    <row r="227">
      <c r="A227" s="44"/>
      <c r="B227" s="44"/>
    </row>
    <row r="228">
      <c r="A228" s="44"/>
      <c r="B228" s="44"/>
    </row>
    <row r="229">
      <c r="A229" s="44"/>
      <c r="B229" s="44"/>
    </row>
    <row r="230">
      <c r="A230" s="44"/>
      <c r="B230" s="44"/>
    </row>
    <row r="231">
      <c r="A231" s="44"/>
      <c r="B231" s="44"/>
    </row>
    <row r="232">
      <c r="A232" s="44"/>
      <c r="B232" s="44"/>
    </row>
    <row r="233">
      <c r="A233" s="44"/>
      <c r="B233" s="44"/>
    </row>
    <row r="234">
      <c r="A234" s="44"/>
      <c r="B234" s="44"/>
    </row>
    <row r="235">
      <c r="A235" s="44"/>
      <c r="B235" s="44"/>
    </row>
    <row r="236">
      <c r="A236" s="44"/>
      <c r="B236" s="44"/>
    </row>
    <row r="237">
      <c r="A237" s="44"/>
      <c r="B237" s="44"/>
    </row>
    <row r="238">
      <c r="A238" s="44"/>
      <c r="B238" s="44"/>
    </row>
    <row r="239">
      <c r="A239" s="44"/>
      <c r="B239" s="44"/>
    </row>
    <row r="240">
      <c r="A240" s="44"/>
      <c r="B240" s="44"/>
    </row>
    <row r="241">
      <c r="A241" s="44"/>
      <c r="B241" s="44"/>
    </row>
    <row r="242">
      <c r="A242" s="44"/>
      <c r="B242" s="44"/>
    </row>
    <row r="243">
      <c r="A243" s="44"/>
      <c r="B243" s="44"/>
    </row>
    <row r="244">
      <c r="A244" s="44"/>
      <c r="B244" s="44"/>
    </row>
    <row r="245">
      <c r="A245" s="44"/>
      <c r="B245" s="44"/>
    </row>
    <row r="246">
      <c r="A246" s="44"/>
      <c r="B246" s="44"/>
    </row>
    <row r="247">
      <c r="A247" s="44"/>
      <c r="B247" s="44"/>
    </row>
    <row r="248">
      <c r="A248" s="44"/>
      <c r="B248" s="44"/>
    </row>
    <row r="249">
      <c r="A249" s="44"/>
      <c r="B249" s="44"/>
    </row>
    <row r="250">
      <c r="A250" s="44"/>
      <c r="B250" s="44"/>
    </row>
    <row r="251">
      <c r="A251" s="44"/>
      <c r="B251" s="44"/>
    </row>
    <row r="252">
      <c r="A252" s="44"/>
      <c r="B252" s="44"/>
    </row>
    <row r="253">
      <c r="A253" s="44"/>
      <c r="B253" s="44"/>
    </row>
    <row r="254">
      <c r="A254" s="44"/>
      <c r="B254" s="44"/>
    </row>
    <row r="255">
      <c r="A255" s="44"/>
      <c r="B255" s="44"/>
    </row>
    <row r="256">
      <c r="A256" s="44"/>
      <c r="B256" s="44"/>
    </row>
    <row r="257">
      <c r="A257" s="44"/>
      <c r="B257" s="44"/>
    </row>
    <row r="258">
      <c r="A258" s="44"/>
      <c r="B258" s="44"/>
    </row>
    <row r="259">
      <c r="A259" s="44"/>
      <c r="B259" s="44"/>
    </row>
    <row r="260">
      <c r="A260" s="44"/>
      <c r="B260" s="44"/>
    </row>
    <row r="261">
      <c r="A261" s="44"/>
      <c r="B261" s="44"/>
    </row>
    <row r="262">
      <c r="A262" s="44"/>
      <c r="B262" s="44"/>
    </row>
    <row r="263">
      <c r="A263" s="44"/>
      <c r="B263" s="44"/>
    </row>
    <row r="264">
      <c r="A264" s="44"/>
      <c r="B264" s="44"/>
    </row>
    <row r="265">
      <c r="A265" s="44"/>
      <c r="B265" s="44"/>
    </row>
    <row r="266">
      <c r="A266" s="44"/>
      <c r="B266" s="44"/>
    </row>
    <row r="267">
      <c r="A267" s="44"/>
      <c r="B267" s="44"/>
    </row>
    <row r="268">
      <c r="A268" s="44"/>
      <c r="B268" s="44"/>
    </row>
    <row r="269">
      <c r="A269" s="44"/>
      <c r="B269" s="44"/>
    </row>
    <row r="270">
      <c r="A270" s="44"/>
      <c r="B270" s="44"/>
    </row>
    <row r="271">
      <c r="A271" s="44"/>
      <c r="B271" s="44"/>
    </row>
    <row r="272">
      <c r="A272" s="44"/>
      <c r="B272" s="44"/>
    </row>
    <row r="273">
      <c r="A273" s="44"/>
      <c r="B273" s="44"/>
    </row>
    <row r="274">
      <c r="A274" s="44"/>
      <c r="B274" s="44"/>
    </row>
    <row r="275">
      <c r="A275" s="44"/>
      <c r="B275" s="44"/>
    </row>
    <row r="276">
      <c r="A276" s="44"/>
      <c r="B276" s="44"/>
    </row>
    <row r="277">
      <c r="A277" s="44"/>
      <c r="B277" s="44"/>
    </row>
    <row r="278">
      <c r="A278" s="44"/>
      <c r="B278" s="44"/>
    </row>
    <row r="279">
      <c r="A279" s="44"/>
      <c r="B279" s="44"/>
    </row>
    <row r="280">
      <c r="A280" s="44"/>
      <c r="B280" s="44"/>
    </row>
    <row r="281">
      <c r="A281" s="44"/>
      <c r="B281" s="44"/>
    </row>
    <row r="282">
      <c r="A282" s="44"/>
      <c r="B282" s="44"/>
    </row>
    <row r="283">
      <c r="A283" s="44"/>
      <c r="B283" s="44"/>
    </row>
    <row r="284">
      <c r="A284" s="44"/>
      <c r="B284" s="44"/>
    </row>
    <row r="285">
      <c r="A285" s="44"/>
      <c r="B285" s="44"/>
    </row>
    <row r="286">
      <c r="A286" s="44"/>
      <c r="B286" s="44"/>
    </row>
    <row r="287">
      <c r="A287" s="44"/>
      <c r="B287" s="44"/>
    </row>
    <row r="288">
      <c r="A288" s="44"/>
      <c r="B288" s="44"/>
    </row>
    <row r="289">
      <c r="A289" s="44"/>
      <c r="B289" s="44"/>
    </row>
    <row r="290">
      <c r="A290" s="44"/>
      <c r="B290" s="44"/>
    </row>
    <row r="291">
      <c r="A291" s="44"/>
      <c r="B291" s="44"/>
    </row>
    <row r="292">
      <c r="A292" s="44"/>
      <c r="B292" s="44"/>
    </row>
    <row r="293">
      <c r="A293" s="44"/>
      <c r="B293" s="44"/>
    </row>
    <row r="294">
      <c r="A294" s="44"/>
      <c r="B294" s="44"/>
    </row>
    <row r="295">
      <c r="A295" s="44"/>
      <c r="B295" s="44"/>
    </row>
    <row r="296">
      <c r="A296" s="44"/>
      <c r="B296" s="44"/>
    </row>
    <row r="297">
      <c r="A297" s="44"/>
      <c r="B297" s="44"/>
    </row>
    <row r="298">
      <c r="A298" s="44"/>
      <c r="B298" s="44"/>
    </row>
    <row r="299">
      <c r="A299" s="44"/>
      <c r="B299" s="44"/>
    </row>
    <row r="300">
      <c r="A300" s="44"/>
      <c r="B300" s="44"/>
    </row>
    <row r="301">
      <c r="A301" s="44"/>
      <c r="B301" s="44"/>
    </row>
    <row r="302">
      <c r="A302" s="44"/>
      <c r="B302" s="44"/>
    </row>
    <row r="303">
      <c r="A303" s="44"/>
      <c r="B303" s="44"/>
    </row>
    <row r="304">
      <c r="A304" s="44"/>
      <c r="B304" s="44"/>
    </row>
    <row r="305">
      <c r="A305" s="44"/>
      <c r="B305" s="44"/>
    </row>
    <row r="306">
      <c r="A306" s="44"/>
      <c r="B306" s="44"/>
    </row>
    <row r="307">
      <c r="A307" s="44"/>
      <c r="B307" s="44"/>
    </row>
    <row r="308">
      <c r="A308" s="44"/>
      <c r="B308" s="44"/>
    </row>
    <row r="309">
      <c r="A309" s="44"/>
      <c r="B309" s="44"/>
    </row>
    <row r="310">
      <c r="A310" s="44"/>
      <c r="B310" s="44"/>
    </row>
    <row r="311">
      <c r="A311" s="44"/>
      <c r="B311" s="44"/>
    </row>
    <row r="312">
      <c r="A312" s="44"/>
      <c r="B312" s="44"/>
    </row>
    <row r="313">
      <c r="A313" s="44"/>
      <c r="B313" s="44"/>
    </row>
    <row r="314">
      <c r="A314" s="44"/>
      <c r="B314" s="44"/>
    </row>
    <row r="315">
      <c r="A315" s="44"/>
      <c r="B315" s="44"/>
    </row>
    <row r="316">
      <c r="A316" s="44"/>
      <c r="B316" s="44"/>
    </row>
    <row r="317">
      <c r="A317" s="44"/>
      <c r="B317" s="44"/>
    </row>
    <row r="318">
      <c r="A318" s="44"/>
      <c r="B318" s="44"/>
    </row>
    <row r="319">
      <c r="A319" s="44"/>
      <c r="B319" s="44"/>
    </row>
    <row r="320">
      <c r="A320" s="44"/>
      <c r="B320" s="44"/>
    </row>
    <row r="321">
      <c r="A321" s="44"/>
      <c r="B321" s="44"/>
    </row>
    <row r="322">
      <c r="A322" s="44"/>
      <c r="B322" s="44"/>
    </row>
    <row r="323">
      <c r="A323" s="44"/>
      <c r="B323" s="44"/>
    </row>
    <row r="324">
      <c r="A324" s="44"/>
      <c r="B324" s="44"/>
    </row>
    <row r="325">
      <c r="A325" s="44"/>
      <c r="B325" s="44"/>
    </row>
    <row r="326">
      <c r="A326" s="44"/>
      <c r="B326" s="44"/>
    </row>
    <row r="327">
      <c r="A327" s="44"/>
      <c r="B327" s="44"/>
    </row>
    <row r="328">
      <c r="A328" s="44"/>
      <c r="B328" s="44"/>
    </row>
    <row r="329">
      <c r="A329" s="44"/>
      <c r="B329" s="44"/>
    </row>
    <row r="330">
      <c r="A330" s="44"/>
      <c r="B330" s="44"/>
    </row>
    <row r="331">
      <c r="A331" s="44"/>
      <c r="B331" s="44"/>
    </row>
    <row r="332">
      <c r="A332" s="44"/>
      <c r="B332" s="44"/>
    </row>
    <row r="333">
      <c r="A333" s="44"/>
      <c r="B333" s="44"/>
    </row>
    <row r="334">
      <c r="A334" s="44"/>
      <c r="B334" s="44"/>
    </row>
    <row r="335">
      <c r="A335" s="44"/>
      <c r="B335" s="44"/>
    </row>
    <row r="336">
      <c r="A336" s="44"/>
      <c r="B336" s="44"/>
    </row>
    <row r="337">
      <c r="A337" s="44"/>
      <c r="B337" s="44"/>
    </row>
    <row r="338">
      <c r="A338" s="44"/>
      <c r="B338" s="44"/>
    </row>
    <row r="339">
      <c r="A339" s="44"/>
      <c r="B339" s="44"/>
    </row>
    <row r="340">
      <c r="A340" s="44"/>
      <c r="B340" s="44"/>
    </row>
    <row r="341">
      <c r="A341" s="44"/>
      <c r="B341" s="44"/>
    </row>
    <row r="342">
      <c r="A342" s="44"/>
      <c r="B342" s="44"/>
    </row>
    <row r="343">
      <c r="A343" s="44"/>
      <c r="B343" s="44"/>
    </row>
    <row r="344">
      <c r="A344" s="44"/>
      <c r="B344" s="44"/>
    </row>
    <row r="345">
      <c r="A345" s="44"/>
      <c r="B345" s="44"/>
    </row>
    <row r="346">
      <c r="A346" s="44"/>
      <c r="B346" s="44"/>
    </row>
    <row r="347">
      <c r="A347" s="44"/>
      <c r="B347" s="44"/>
    </row>
    <row r="348">
      <c r="A348" s="44"/>
      <c r="B348" s="44"/>
    </row>
    <row r="349">
      <c r="A349" s="44"/>
      <c r="B349" s="44"/>
    </row>
    <row r="350">
      <c r="A350" s="44"/>
      <c r="B350" s="44"/>
    </row>
    <row r="351">
      <c r="A351" s="44"/>
      <c r="B351" s="44"/>
    </row>
    <row r="352">
      <c r="A352" s="44"/>
      <c r="B352" s="44"/>
    </row>
    <row r="353">
      <c r="A353" s="44"/>
      <c r="B353" s="44"/>
    </row>
    <row r="354">
      <c r="A354" s="44"/>
      <c r="B354" s="44"/>
    </row>
    <row r="355">
      <c r="A355" s="44"/>
      <c r="B355" s="44"/>
    </row>
    <row r="356">
      <c r="A356" s="44"/>
      <c r="B356" s="44"/>
    </row>
    <row r="357">
      <c r="A357" s="44"/>
      <c r="B357" s="44"/>
    </row>
    <row r="358">
      <c r="A358" s="44"/>
      <c r="B358" s="44"/>
    </row>
    <row r="359">
      <c r="A359" s="44"/>
      <c r="B359" s="44"/>
    </row>
    <row r="360">
      <c r="A360" s="44"/>
      <c r="B360" s="44"/>
    </row>
    <row r="361">
      <c r="A361" s="44"/>
      <c r="B361" s="44"/>
    </row>
    <row r="362">
      <c r="A362" s="44"/>
      <c r="B362" s="44"/>
    </row>
    <row r="363">
      <c r="A363" s="44"/>
      <c r="B363" s="44"/>
    </row>
    <row r="364">
      <c r="A364" s="44"/>
      <c r="B364" s="44"/>
    </row>
    <row r="365">
      <c r="A365" s="44"/>
      <c r="B365" s="44"/>
    </row>
    <row r="366">
      <c r="A366" s="44"/>
      <c r="B366" s="44"/>
    </row>
    <row r="367">
      <c r="A367" s="44"/>
      <c r="B367" s="44"/>
    </row>
    <row r="368">
      <c r="A368" s="44"/>
      <c r="B368" s="44"/>
    </row>
    <row r="369">
      <c r="A369" s="44"/>
      <c r="B369" s="44"/>
    </row>
    <row r="370">
      <c r="A370" s="44"/>
      <c r="B370" s="44"/>
    </row>
    <row r="371">
      <c r="A371" s="44"/>
      <c r="B371" s="44"/>
    </row>
    <row r="372">
      <c r="A372" s="44"/>
      <c r="B372" s="44"/>
    </row>
    <row r="373">
      <c r="A373" s="44"/>
      <c r="B373" s="44"/>
    </row>
    <row r="374">
      <c r="A374" s="44"/>
      <c r="B374" s="44"/>
    </row>
    <row r="375">
      <c r="A375" s="44"/>
      <c r="B375" s="44"/>
    </row>
    <row r="376">
      <c r="A376" s="44"/>
      <c r="B376" s="44"/>
    </row>
    <row r="377">
      <c r="A377" s="44"/>
      <c r="B377" s="44"/>
    </row>
    <row r="378">
      <c r="A378" s="44"/>
      <c r="B378" s="44"/>
    </row>
    <row r="379">
      <c r="A379" s="44"/>
      <c r="B379" s="44"/>
    </row>
    <row r="380">
      <c r="A380" s="44"/>
      <c r="B380" s="44"/>
    </row>
    <row r="381">
      <c r="A381" s="44"/>
      <c r="B381" s="44"/>
    </row>
    <row r="382">
      <c r="A382" s="44"/>
      <c r="B382" s="44"/>
    </row>
    <row r="383">
      <c r="A383" s="44"/>
      <c r="B383" s="44"/>
    </row>
    <row r="384">
      <c r="A384" s="44"/>
      <c r="B384" s="44"/>
    </row>
    <row r="385">
      <c r="A385" s="44"/>
      <c r="B385" s="44"/>
    </row>
    <row r="386">
      <c r="A386" s="44"/>
      <c r="B386" s="44"/>
    </row>
    <row r="387">
      <c r="A387" s="44"/>
      <c r="B387" s="44"/>
    </row>
    <row r="388">
      <c r="A388" s="44"/>
      <c r="B388" s="44"/>
    </row>
    <row r="389">
      <c r="A389" s="44"/>
      <c r="B389" s="44"/>
    </row>
    <row r="390">
      <c r="A390" s="44"/>
      <c r="B390" s="44"/>
    </row>
    <row r="391">
      <c r="A391" s="44"/>
      <c r="B391" s="44"/>
    </row>
    <row r="392">
      <c r="A392" s="44"/>
      <c r="B392" s="44"/>
    </row>
    <row r="393">
      <c r="A393" s="44"/>
      <c r="B393" s="44"/>
    </row>
    <row r="394">
      <c r="A394" s="44"/>
      <c r="B394" s="44"/>
    </row>
    <row r="395">
      <c r="A395" s="44"/>
      <c r="B395" s="44"/>
    </row>
    <row r="396">
      <c r="A396" s="44"/>
      <c r="B396" s="44"/>
    </row>
    <row r="397">
      <c r="A397" s="44"/>
      <c r="B397" s="44"/>
    </row>
    <row r="398">
      <c r="A398" s="44"/>
      <c r="B398" s="44"/>
    </row>
    <row r="399">
      <c r="A399" s="44"/>
      <c r="B399" s="44"/>
    </row>
    <row r="400">
      <c r="A400" s="44"/>
      <c r="B400" s="44"/>
    </row>
    <row r="401">
      <c r="A401" s="44"/>
      <c r="B401" s="44"/>
    </row>
    <row r="402">
      <c r="A402" s="44"/>
      <c r="B402" s="44"/>
    </row>
    <row r="403">
      <c r="A403" s="44"/>
      <c r="B403" s="44"/>
    </row>
    <row r="404">
      <c r="A404" s="44"/>
      <c r="B404" s="44"/>
    </row>
    <row r="405">
      <c r="A405" s="44"/>
      <c r="B405" s="44"/>
    </row>
    <row r="406">
      <c r="A406" s="44"/>
      <c r="B406" s="44"/>
    </row>
    <row r="407">
      <c r="A407" s="44"/>
      <c r="B407" s="44"/>
    </row>
    <row r="408">
      <c r="A408" s="44"/>
      <c r="B408" s="44"/>
    </row>
    <row r="409">
      <c r="A409" s="44"/>
      <c r="B409" s="44"/>
    </row>
    <row r="410">
      <c r="A410" s="44"/>
      <c r="B410" s="44"/>
    </row>
    <row r="411">
      <c r="A411" s="44"/>
      <c r="B411" s="44"/>
    </row>
    <row r="412">
      <c r="A412" s="44"/>
      <c r="B412" s="44"/>
    </row>
    <row r="413">
      <c r="A413" s="44"/>
      <c r="B413" s="44"/>
    </row>
    <row r="414">
      <c r="A414" s="44"/>
      <c r="B414" s="44"/>
    </row>
    <row r="415">
      <c r="A415" s="44"/>
      <c r="B415" s="44"/>
    </row>
    <row r="416">
      <c r="A416" s="44"/>
      <c r="B416" s="44"/>
    </row>
    <row r="417">
      <c r="A417" s="44"/>
      <c r="B417" s="44"/>
    </row>
    <row r="418">
      <c r="A418" s="44"/>
      <c r="B418" s="44"/>
    </row>
    <row r="419">
      <c r="A419" s="44"/>
      <c r="B419" s="44"/>
    </row>
    <row r="420">
      <c r="A420" s="44"/>
      <c r="B420" s="44"/>
    </row>
    <row r="421">
      <c r="A421" s="44"/>
      <c r="B421" s="44"/>
    </row>
    <row r="422">
      <c r="A422" s="44"/>
      <c r="B422" s="44"/>
    </row>
    <row r="423">
      <c r="A423" s="44"/>
      <c r="B423" s="44"/>
    </row>
    <row r="424">
      <c r="A424" s="44"/>
      <c r="B424" s="44"/>
    </row>
    <row r="425">
      <c r="A425" s="44"/>
      <c r="B425" s="44"/>
    </row>
    <row r="426">
      <c r="A426" s="44"/>
      <c r="B426" s="44"/>
    </row>
    <row r="427">
      <c r="A427" s="44"/>
      <c r="B427" s="44"/>
    </row>
    <row r="428">
      <c r="A428" s="44"/>
      <c r="B428" s="44"/>
    </row>
    <row r="429">
      <c r="A429" s="44"/>
      <c r="B429" s="44"/>
    </row>
    <row r="430">
      <c r="A430" s="44"/>
      <c r="B430" s="44"/>
    </row>
    <row r="431">
      <c r="A431" s="44"/>
      <c r="B431" s="44"/>
    </row>
    <row r="432">
      <c r="A432" s="44"/>
      <c r="B432" s="44"/>
    </row>
    <row r="433">
      <c r="A433" s="44"/>
      <c r="B433" s="44"/>
    </row>
    <row r="434">
      <c r="A434" s="44"/>
      <c r="B434" s="44"/>
    </row>
    <row r="435">
      <c r="A435" s="44"/>
      <c r="B435" s="44"/>
    </row>
    <row r="436">
      <c r="A436" s="44"/>
      <c r="B436" s="44"/>
    </row>
    <row r="437">
      <c r="A437" s="44"/>
      <c r="B437" s="44"/>
    </row>
    <row r="438">
      <c r="A438" s="44"/>
      <c r="B438" s="44"/>
    </row>
    <row r="439">
      <c r="A439" s="44"/>
      <c r="B439" s="44"/>
    </row>
    <row r="440">
      <c r="A440" s="44"/>
      <c r="B440" s="44"/>
    </row>
    <row r="441">
      <c r="A441" s="44"/>
      <c r="B441" s="44"/>
    </row>
    <row r="442">
      <c r="A442" s="44"/>
      <c r="B442" s="44"/>
    </row>
    <row r="443">
      <c r="A443" s="44"/>
      <c r="B443" s="44"/>
    </row>
    <row r="444">
      <c r="A444" s="44"/>
      <c r="B444" s="44"/>
    </row>
    <row r="445">
      <c r="A445" s="44"/>
      <c r="B445" s="44"/>
    </row>
    <row r="446">
      <c r="A446" s="44"/>
      <c r="B446" s="44"/>
    </row>
    <row r="447">
      <c r="A447" s="44"/>
      <c r="B447" s="44"/>
    </row>
    <row r="448">
      <c r="A448" s="44"/>
      <c r="B448" s="44"/>
    </row>
    <row r="449">
      <c r="A449" s="44"/>
      <c r="B449" s="44"/>
    </row>
    <row r="450">
      <c r="A450" s="44"/>
      <c r="B450" s="44"/>
    </row>
    <row r="451">
      <c r="A451" s="44"/>
      <c r="B451" s="44"/>
    </row>
    <row r="452">
      <c r="A452" s="44"/>
      <c r="B452" s="44"/>
    </row>
    <row r="453">
      <c r="A453" s="44"/>
      <c r="B453" s="44"/>
    </row>
    <row r="454">
      <c r="A454" s="44"/>
      <c r="B454" s="44"/>
    </row>
    <row r="455">
      <c r="A455" s="44"/>
      <c r="B455" s="44"/>
    </row>
    <row r="456">
      <c r="A456" s="44"/>
      <c r="B456" s="44"/>
    </row>
    <row r="457">
      <c r="A457" s="44"/>
      <c r="B457" s="44"/>
    </row>
    <row r="458">
      <c r="A458" s="44"/>
      <c r="B458" s="44"/>
    </row>
    <row r="459">
      <c r="A459" s="44"/>
      <c r="B459" s="44"/>
    </row>
    <row r="460">
      <c r="A460" s="44"/>
      <c r="B460" s="44"/>
    </row>
    <row r="461">
      <c r="A461" s="44"/>
      <c r="B461" s="44"/>
    </row>
    <row r="462">
      <c r="A462" s="44"/>
      <c r="B462" s="44"/>
    </row>
    <row r="463">
      <c r="A463" s="44"/>
      <c r="B463" s="44"/>
    </row>
    <row r="464">
      <c r="A464" s="44"/>
      <c r="B464" s="44"/>
    </row>
    <row r="465">
      <c r="A465" s="44"/>
      <c r="B465" s="44"/>
    </row>
    <row r="466">
      <c r="A466" s="44"/>
      <c r="B466" s="44"/>
    </row>
    <row r="467">
      <c r="A467" s="44"/>
      <c r="B467" s="44"/>
    </row>
    <row r="468">
      <c r="A468" s="44"/>
      <c r="B468" s="44"/>
    </row>
    <row r="469">
      <c r="A469" s="44"/>
      <c r="B469" s="44"/>
    </row>
    <row r="470">
      <c r="A470" s="44"/>
      <c r="B470" s="44"/>
    </row>
    <row r="471">
      <c r="A471" s="44"/>
      <c r="B471" s="44"/>
    </row>
    <row r="472">
      <c r="A472" s="44"/>
      <c r="B472" s="44"/>
    </row>
    <row r="473">
      <c r="A473" s="44"/>
      <c r="B473" s="44"/>
    </row>
    <row r="474">
      <c r="A474" s="44"/>
      <c r="B474" s="44"/>
    </row>
    <row r="475">
      <c r="A475" s="44"/>
      <c r="B475" s="44"/>
    </row>
    <row r="476">
      <c r="A476" s="44"/>
      <c r="B476" s="44"/>
    </row>
    <row r="477">
      <c r="A477" s="44"/>
      <c r="B477" s="44"/>
    </row>
    <row r="478">
      <c r="A478" s="44"/>
      <c r="B478" s="44"/>
    </row>
    <row r="479">
      <c r="A479" s="44"/>
      <c r="B479" s="44"/>
    </row>
    <row r="480">
      <c r="A480" s="44"/>
      <c r="B480" s="44"/>
    </row>
    <row r="481">
      <c r="A481" s="44"/>
      <c r="B481" s="44"/>
    </row>
    <row r="482">
      <c r="A482" s="44"/>
      <c r="B482" s="44"/>
    </row>
    <row r="483">
      <c r="A483" s="44"/>
      <c r="B483" s="44"/>
    </row>
    <row r="484">
      <c r="A484" s="44"/>
      <c r="B484" s="44"/>
    </row>
    <row r="485">
      <c r="A485" s="44"/>
      <c r="B485" s="44"/>
    </row>
    <row r="486">
      <c r="A486" s="44"/>
      <c r="B486" s="44"/>
    </row>
    <row r="487">
      <c r="A487" s="44"/>
      <c r="B487" s="44"/>
    </row>
    <row r="488">
      <c r="A488" s="44"/>
      <c r="B488" s="44"/>
    </row>
    <row r="489">
      <c r="A489" s="44"/>
      <c r="B489" s="44"/>
    </row>
    <row r="490">
      <c r="A490" s="44"/>
      <c r="B490" s="44"/>
    </row>
    <row r="491">
      <c r="A491" s="44"/>
      <c r="B491" s="44"/>
    </row>
    <row r="492">
      <c r="A492" s="44"/>
      <c r="B492" s="44"/>
    </row>
    <row r="493">
      <c r="A493" s="44"/>
      <c r="B493" s="44"/>
    </row>
    <row r="494">
      <c r="A494" s="44"/>
      <c r="B494" s="44"/>
    </row>
    <row r="495">
      <c r="A495" s="44"/>
      <c r="B495" s="44"/>
    </row>
    <row r="496">
      <c r="A496" s="44"/>
      <c r="B496" s="44"/>
    </row>
    <row r="497">
      <c r="A497" s="44"/>
      <c r="B497" s="44"/>
    </row>
    <row r="498">
      <c r="A498" s="44"/>
      <c r="B498" s="44"/>
    </row>
    <row r="499">
      <c r="A499" s="44"/>
      <c r="B499" s="44"/>
    </row>
    <row r="500">
      <c r="A500" s="44"/>
      <c r="B500" s="44"/>
    </row>
    <row r="501">
      <c r="A501" s="44"/>
      <c r="B501" s="44"/>
    </row>
    <row r="502">
      <c r="A502" s="44"/>
      <c r="B502" s="44"/>
    </row>
    <row r="503">
      <c r="A503" s="44"/>
      <c r="B503" s="44"/>
    </row>
    <row r="504">
      <c r="A504" s="44"/>
      <c r="B504" s="44"/>
    </row>
    <row r="505">
      <c r="A505" s="44"/>
      <c r="B505" s="44"/>
    </row>
    <row r="506">
      <c r="A506" s="44"/>
      <c r="B506" s="44"/>
    </row>
    <row r="507">
      <c r="A507" s="44"/>
      <c r="B507" s="44"/>
    </row>
    <row r="508">
      <c r="A508" s="44"/>
      <c r="B508" s="44"/>
    </row>
    <row r="509">
      <c r="A509" s="44"/>
      <c r="B509" s="44"/>
    </row>
    <row r="510">
      <c r="A510" s="44"/>
      <c r="B510" s="44"/>
    </row>
    <row r="511">
      <c r="A511" s="44"/>
      <c r="B511" s="44"/>
    </row>
    <row r="512">
      <c r="A512" s="44"/>
      <c r="B512" s="44"/>
    </row>
    <row r="513">
      <c r="A513" s="44"/>
      <c r="B513" s="44"/>
    </row>
    <row r="514">
      <c r="A514" s="44"/>
      <c r="B514" s="44"/>
    </row>
    <row r="515">
      <c r="A515" s="44"/>
      <c r="B515" s="44"/>
    </row>
    <row r="516">
      <c r="A516" s="44"/>
      <c r="B516" s="44"/>
    </row>
    <row r="517">
      <c r="A517" s="44"/>
      <c r="B517" s="44"/>
    </row>
    <row r="518">
      <c r="A518" s="44"/>
      <c r="B518" s="44"/>
    </row>
    <row r="519">
      <c r="A519" s="44"/>
      <c r="B519" s="44"/>
    </row>
    <row r="520">
      <c r="A520" s="44"/>
      <c r="B520" s="44"/>
    </row>
    <row r="521">
      <c r="A521" s="44"/>
      <c r="B521" s="44"/>
    </row>
    <row r="522">
      <c r="A522" s="44"/>
      <c r="B522" s="44"/>
    </row>
    <row r="523">
      <c r="A523" s="44"/>
      <c r="B523" s="44"/>
    </row>
    <row r="524">
      <c r="A524" s="44"/>
      <c r="B524" s="44"/>
    </row>
    <row r="525">
      <c r="A525" s="44"/>
      <c r="B525" s="44"/>
    </row>
    <row r="526">
      <c r="A526" s="44"/>
      <c r="B526" s="44"/>
    </row>
    <row r="527">
      <c r="A527" s="44"/>
      <c r="B527" s="44"/>
    </row>
    <row r="528">
      <c r="A528" s="44"/>
      <c r="B528" s="44"/>
    </row>
    <row r="529">
      <c r="A529" s="44"/>
      <c r="B529" s="44"/>
    </row>
    <row r="530">
      <c r="A530" s="44"/>
      <c r="B530" s="44"/>
    </row>
    <row r="531">
      <c r="A531" s="44"/>
      <c r="B531" s="44"/>
    </row>
    <row r="532">
      <c r="A532" s="44"/>
      <c r="B532" s="44"/>
    </row>
    <row r="533">
      <c r="A533" s="44"/>
      <c r="B533" s="44"/>
    </row>
    <row r="534">
      <c r="A534" s="44"/>
      <c r="B534" s="44"/>
    </row>
    <row r="535">
      <c r="A535" s="44"/>
      <c r="B535" s="44"/>
    </row>
    <row r="536">
      <c r="A536" s="44"/>
      <c r="B536" s="44"/>
    </row>
    <row r="537">
      <c r="A537" s="44"/>
      <c r="B537" s="44"/>
    </row>
    <row r="538">
      <c r="A538" s="44"/>
      <c r="B538" s="44"/>
    </row>
    <row r="539">
      <c r="A539" s="44"/>
      <c r="B539" s="44"/>
    </row>
    <row r="540">
      <c r="A540" s="44"/>
      <c r="B540" s="44"/>
    </row>
    <row r="541">
      <c r="A541" s="44"/>
      <c r="B541" s="44"/>
    </row>
    <row r="542">
      <c r="A542" s="44"/>
      <c r="B542" s="44"/>
    </row>
    <row r="543">
      <c r="A543" s="44"/>
      <c r="B543" s="44"/>
    </row>
    <row r="544">
      <c r="A544" s="44"/>
      <c r="B544" s="44"/>
    </row>
    <row r="545">
      <c r="A545" s="44"/>
      <c r="B545" s="44"/>
    </row>
    <row r="546">
      <c r="A546" s="44"/>
      <c r="B546" s="44"/>
    </row>
    <row r="547">
      <c r="A547" s="44"/>
      <c r="B547" s="44"/>
    </row>
    <row r="548">
      <c r="A548" s="44"/>
      <c r="B548" s="44"/>
    </row>
    <row r="549">
      <c r="A549" s="44"/>
      <c r="B549" s="44"/>
    </row>
    <row r="550">
      <c r="A550" s="44"/>
      <c r="B550" s="44"/>
    </row>
    <row r="551">
      <c r="A551" s="44"/>
      <c r="B551" s="44"/>
    </row>
    <row r="552">
      <c r="A552" s="44"/>
      <c r="B552" s="44"/>
    </row>
    <row r="553">
      <c r="A553" s="44"/>
      <c r="B553" s="44"/>
    </row>
    <row r="554">
      <c r="A554" s="44"/>
      <c r="B554" s="44"/>
    </row>
    <row r="555">
      <c r="A555" s="44"/>
      <c r="B555" s="44"/>
    </row>
    <row r="556">
      <c r="A556" s="44"/>
      <c r="B556" s="44"/>
    </row>
    <row r="557">
      <c r="A557" s="44"/>
      <c r="B557" s="44"/>
    </row>
    <row r="558">
      <c r="A558" s="44"/>
      <c r="B558" s="44"/>
    </row>
    <row r="559">
      <c r="A559" s="44"/>
      <c r="B559" s="44"/>
    </row>
    <row r="560">
      <c r="A560" s="44"/>
      <c r="B560" s="44"/>
    </row>
    <row r="561">
      <c r="A561" s="44"/>
      <c r="B561" s="44"/>
    </row>
    <row r="562">
      <c r="A562" s="44"/>
      <c r="B562" s="44"/>
    </row>
    <row r="563">
      <c r="A563" s="44"/>
      <c r="B563" s="44"/>
    </row>
    <row r="564">
      <c r="A564" s="44"/>
      <c r="B564" s="44"/>
    </row>
    <row r="565">
      <c r="A565" s="44"/>
      <c r="B565" s="44"/>
    </row>
    <row r="566">
      <c r="A566" s="44"/>
      <c r="B566" s="44"/>
    </row>
    <row r="567">
      <c r="A567" s="44"/>
      <c r="B567" s="44"/>
    </row>
    <row r="568">
      <c r="A568" s="44"/>
      <c r="B568" s="44"/>
    </row>
    <row r="569">
      <c r="A569" s="44"/>
      <c r="B569" s="44"/>
    </row>
    <row r="570">
      <c r="A570" s="44"/>
      <c r="B570" s="44"/>
    </row>
    <row r="571">
      <c r="A571" s="44"/>
      <c r="B571" s="44"/>
    </row>
    <row r="572">
      <c r="A572" s="44"/>
      <c r="B572" s="44"/>
    </row>
    <row r="573">
      <c r="A573" s="44"/>
      <c r="B573" s="44"/>
    </row>
    <row r="574">
      <c r="A574" s="44"/>
      <c r="B574" s="44"/>
    </row>
    <row r="575">
      <c r="A575" s="44"/>
      <c r="B575" s="44"/>
    </row>
    <row r="576">
      <c r="A576" s="44"/>
      <c r="B576" s="44"/>
    </row>
    <row r="577">
      <c r="A577" s="44"/>
      <c r="B577" s="44"/>
    </row>
    <row r="578">
      <c r="A578" s="44"/>
      <c r="B578" s="44"/>
    </row>
    <row r="579">
      <c r="A579" s="44"/>
      <c r="B579" s="44"/>
    </row>
    <row r="580">
      <c r="A580" s="44"/>
      <c r="B580" s="44"/>
    </row>
    <row r="581">
      <c r="A581" s="44"/>
      <c r="B581" s="44"/>
    </row>
    <row r="582">
      <c r="A582" s="44"/>
      <c r="B582" s="44"/>
    </row>
    <row r="583">
      <c r="A583" s="44"/>
      <c r="B583" s="44"/>
    </row>
    <row r="584">
      <c r="A584" s="44"/>
      <c r="B584" s="44"/>
    </row>
    <row r="585">
      <c r="A585" s="44"/>
      <c r="B585" s="44"/>
    </row>
    <row r="586">
      <c r="A586" s="44"/>
      <c r="B586" s="44"/>
    </row>
    <row r="587">
      <c r="A587" s="44"/>
      <c r="B587" s="44"/>
    </row>
    <row r="588">
      <c r="A588" s="44"/>
      <c r="B588" s="44"/>
    </row>
    <row r="589">
      <c r="A589" s="44"/>
      <c r="B589" s="44"/>
    </row>
    <row r="590">
      <c r="A590" s="44"/>
      <c r="B590" s="44"/>
    </row>
    <row r="591">
      <c r="A591" s="44"/>
      <c r="B591" s="44"/>
    </row>
    <row r="592">
      <c r="A592" s="44"/>
      <c r="B592" s="44"/>
    </row>
    <row r="593">
      <c r="A593" s="44"/>
      <c r="B593" s="44"/>
    </row>
    <row r="594">
      <c r="A594" s="44"/>
      <c r="B594" s="44"/>
    </row>
    <row r="595">
      <c r="A595" s="44"/>
      <c r="B595" s="44"/>
    </row>
    <row r="596">
      <c r="A596" s="44"/>
      <c r="B596" s="44"/>
    </row>
    <row r="597">
      <c r="A597" s="44"/>
      <c r="B597" s="44"/>
    </row>
    <row r="598">
      <c r="A598" s="44"/>
      <c r="B598" s="44"/>
    </row>
    <row r="599">
      <c r="A599" s="44"/>
      <c r="B599" s="44"/>
    </row>
    <row r="600">
      <c r="A600" s="44"/>
      <c r="B600" s="44"/>
    </row>
    <row r="601">
      <c r="A601" s="44"/>
      <c r="B601" s="44"/>
    </row>
    <row r="602">
      <c r="A602" s="44"/>
      <c r="B602" s="44"/>
    </row>
    <row r="603">
      <c r="A603" s="44"/>
      <c r="B603" s="44"/>
    </row>
    <row r="604">
      <c r="A604" s="44"/>
      <c r="B604" s="44"/>
    </row>
    <row r="605">
      <c r="A605" s="44"/>
      <c r="B605" s="44"/>
    </row>
    <row r="606">
      <c r="A606" s="44"/>
      <c r="B606" s="44"/>
    </row>
    <row r="607">
      <c r="A607" s="44"/>
      <c r="B607" s="44"/>
    </row>
    <row r="608">
      <c r="A608" s="44"/>
      <c r="B608" s="44"/>
    </row>
    <row r="609">
      <c r="A609" s="44"/>
      <c r="B609" s="44"/>
    </row>
    <row r="610">
      <c r="A610" s="44"/>
      <c r="B610" s="44"/>
    </row>
    <row r="611">
      <c r="A611" s="44"/>
      <c r="B611" s="44"/>
    </row>
    <row r="612">
      <c r="A612" s="44"/>
      <c r="B612" s="44"/>
    </row>
    <row r="613">
      <c r="A613" s="44"/>
      <c r="B613" s="44"/>
    </row>
    <row r="614">
      <c r="A614" s="44"/>
      <c r="B614" s="44"/>
    </row>
    <row r="615">
      <c r="A615" s="44"/>
      <c r="B615" s="44"/>
    </row>
    <row r="616">
      <c r="A616" s="44"/>
      <c r="B616" s="44"/>
    </row>
    <row r="617">
      <c r="A617" s="44"/>
      <c r="B617" s="44"/>
    </row>
    <row r="618">
      <c r="A618" s="44"/>
      <c r="B618" s="44"/>
    </row>
    <row r="619">
      <c r="A619" s="44"/>
      <c r="B619" s="44"/>
    </row>
    <row r="620">
      <c r="A620" s="44"/>
      <c r="B620" s="44"/>
    </row>
    <row r="621">
      <c r="A621" s="44"/>
      <c r="B621" s="44"/>
    </row>
    <row r="622">
      <c r="A622" s="44"/>
      <c r="B622" s="44"/>
    </row>
    <row r="623">
      <c r="A623" s="44"/>
      <c r="B623" s="44"/>
    </row>
    <row r="624">
      <c r="A624" s="44"/>
      <c r="B624" s="44"/>
    </row>
    <row r="625">
      <c r="A625" s="44"/>
      <c r="B625" s="44"/>
    </row>
    <row r="626">
      <c r="A626" s="44"/>
      <c r="B626" s="44"/>
    </row>
    <row r="627">
      <c r="A627" s="44"/>
      <c r="B627" s="44"/>
    </row>
    <row r="628">
      <c r="A628" s="44"/>
      <c r="B628" s="44"/>
    </row>
    <row r="629">
      <c r="A629" s="44"/>
      <c r="B629" s="44"/>
    </row>
    <row r="630">
      <c r="A630" s="44"/>
      <c r="B630" s="44"/>
    </row>
    <row r="631">
      <c r="A631" s="44"/>
      <c r="B631" s="44"/>
    </row>
    <row r="632">
      <c r="A632" s="44"/>
      <c r="B632" s="44"/>
    </row>
    <row r="633">
      <c r="A633" s="44"/>
      <c r="B633" s="44"/>
    </row>
    <row r="634">
      <c r="A634" s="44"/>
      <c r="B634" s="44"/>
    </row>
    <row r="635">
      <c r="A635" s="44"/>
      <c r="B635" s="44"/>
    </row>
    <row r="636">
      <c r="A636" s="44"/>
      <c r="B636" s="44"/>
    </row>
    <row r="637">
      <c r="A637" s="44"/>
      <c r="B637" s="44"/>
    </row>
    <row r="638">
      <c r="A638" s="44"/>
      <c r="B638" s="44"/>
    </row>
    <row r="639">
      <c r="A639" s="44"/>
      <c r="B639" s="44"/>
    </row>
    <row r="640">
      <c r="A640" s="44"/>
      <c r="B640" s="44"/>
    </row>
    <row r="641">
      <c r="A641" s="44"/>
      <c r="B641" s="44"/>
    </row>
    <row r="642">
      <c r="A642" s="44"/>
      <c r="B642" s="44"/>
    </row>
    <row r="643">
      <c r="A643" s="44"/>
      <c r="B643" s="44"/>
    </row>
    <row r="644">
      <c r="A644" s="44"/>
      <c r="B644" s="44"/>
    </row>
    <row r="645">
      <c r="A645" s="44"/>
      <c r="B645" s="44"/>
    </row>
    <row r="646">
      <c r="A646" s="44"/>
      <c r="B646" s="44"/>
    </row>
    <row r="647">
      <c r="A647" s="44"/>
      <c r="B647" s="44"/>
    </row>
    <row r="648">
      <c r="A648" s="44"/>
      <c r="B648" s="44"/>
    </row>
    <row r="649">
      <c r="A649" s="44"/>
      <c r="B649" s="44"/>
    </row>
    <row r="650">
      <c r="A650" s="44"/>
      <c r="B650" s="44"/>
    </row>
    <row r="651">
      <c r="A651" s="44"/>
      <c r="B651" s="44"/>
    </row>
    <row r="652">
      <c r="A652" s="44"/>
      <c r="B652" s="44"/>
    </row>
    <row r="653">
      <c r="A653" s="44"/>
      <c r="B653" s="44"/>
    </row>
    <row r="654">
      <c r="A654" s="44"/>
      <c r="B654" s="44"/>
    </row>
    <row r="655">
      <c r="A655" s="44"/>
      <c r="B655" s="44"/>
    </row>
    <row r="656">
      <c r="A656" s="44"/>
      <c r="B656" s="44"/>
    </row>
    <row r="657">
      <c r="A657" s="44"/>
      <c r="B657" s="44"/>
    </row>
    <row r="658">
      <c r="A658" s="44"/>
      <c r="B658" s="44"/>
    </row>
    <row r="659">
      <c r="A659" s="44"/>
      <c r="B659" s="44"/>
    </row>
    <row r="660">
      <c r="A660" s="44"/>
      <c r="B660" s="44"/>
    </row>
    <row r="661">
      <c r="A661" s="44"/>
      <c r="B661" s="44"/>
    </row>
    <row r="662">
      <c r="A662" s="44"/>
      <c r="B662" s="44"/>
    </row>
    <row r="663">
      <c r="A663" s="44"/>
      <c r="B663" s="44"/>
    </row>
    <row r="664">
      <c r="A664" s="44"/>
      <c r="B664" s="44"/>
    </row>
    <row r="665">
      <c r="A665" s="44"/>
      <c r="B665" s="44"/>
    </row>
    <row r="666">
      <c r="A666" s="44"/>
      <c r="B666" s="44"/>
    </row>
    <row r="667">
      <c r="A667" s="44"/>
      <c r="B667" s="44"/>
    </row>
    <row r="668">
      <c r="A668" s="44"/>
      <c r="B668" s="44"/>
    </row>
    <row r="669">
      <c r="A669" s="44"/>
      <c r="B669" s="44"/>
    </row>
    <row r="670">
      <c r="A670" s="44"/>
      <c r="B670" s="44"/>
    </row>
    <row r="671">
      <c r="A671" s="44"/>
      <c r="B671" s="44"/>
    </row>
    <row r="672">
      <c r="A672" s="44"/>
      <c r="B672" s="44"/>
    </row>
    <row r="673">
      <c r="A673" s="44"/>
      <c r="B673" s="44"/>
    </row>
    <row r="674">
      <c r="A674" s="44"/>
      <c r="B674" s="44"/>
    </row>
    <row r="675">
      <c r="A675" s="44"/>
      <c r="B675" s="44"/>
    </row>
    <row r="676">
      <c r="A676" s="44"/>
      <c r="B676" s="44"/>
    </row>
    <row r="677">
      <c r="A677" s="44"/>
      <c r="B677" s="44"/>
    </row>
    <row r="678">
      <c r="A678" s="44"/>
      <c r="B678" s="44"/>
    </row>
    <row r="679">
      <c r="A679" s="44"/>
      <c r="B679" s="44"/>
    </row>
    <row r="680">
      <c r="A680" s="44"/>
      <c r="B680" s="44"/>
    </row>
    <row r="681">
      <c r="A681" s="44"/>
      <c r="B681" s="44"/>
    </row>
    <row r="682">
      <c r="A682" s="44"/>
      <c r="B682" s="44"/>
    </row>
    <row r="683">
      <c r="A683" s="44"/>
      <c r="B683" s="44"/>
    </row>
    <row r="684">
      <c r="A684" s="44"/>
      <c r="B684" s="44"/>
    </row>
    <row r="685">
      <c r="A685" s="44"/>
      <c r="B685" s="44"/>
    </row>
    <row r="686">
      <c r="A686" s="44"/>
      <c r="B686" s="44"/>
    </row>
    <row r="687">
      <c r="A687" s="44"/>
      <c r="B687" s="44"/>
    </row>
    <row r="688">
      <c r="A688" s="44"/>
      <c r="B688" s="44"/>
    </row>
    <row r="689">
      <c r="A689" s="44"/>
      <c r="B689" s="44"/>
    </row>
    <row r="690">
      <c r="A690" s="44"/>
      <c r="B690" s="44"/>
    </row>
    <row r="691">
      <c r="A691" s="44"/>
      <c r="B691" s="44"/>
    </row>
    <row r="692">
      <c r="A692" s="44"/>
      <c r="B692" s="44"/>
    </row>
    <row r="693">
      <c r="A693" s="44"/>
      <c r="B693" s="44"/>
    </row>
    <row r="694">
      <c r="A694" s="44"/>
      <c r="B694" s="44"/>
    </row>
    <row r="695">
      <c r="A695" s="44"/>
      <c r="B695" s="44"/>
    </row>
    <row r="696">
      <c r="A696" s="44"/>
      <c r="B696" s="44"/>
    </row>
    <row r="697">
      <c r="A697" s="44"/>
      <c r="B697" s="44"/>
    </row>
    <row r="698">
      <c r="A698" s="44"/>
      <c r="B698" s="44"/>
    </row>
    <row r="699">
      <c r="A699" s="44"/>
      <c r="B699" s="44"/>
    </row>
    <row r="700">
      <c r="A700" s="44"/>
      <c r="B700" s="44"/>
    </row>
    <row r="701">
      <c r="A701" s="44"/>
      <c r="B701" s="44"/>
    </row>
    <row r="702">
      <c r="A702" s="44"/>
      <c r="B702" s="44"/>
    </row>
    <row r="703">
      <c r="A703" s="44"/>
      <c r="B703" s="44"/>
    </row>
    <row r="704">
      <c r="A704" s="44"/>
      <c r="B704" s="44"/>
    </row>
    <row r="705">
      <c r="A705" s="44"/>
      <c r="B705" s="44"/>
    </row>
    <row r="706">
      <c r="A706" s="44"/>
      <c r="B706" s="44"/>
    </row>
    <row r="707">
      <c r="A707" s="44"/>
      <c r="B707" s="44"/>
    </row>
    <row r="708">
      <c r="A708" s="44"/>
      <c r="B708" s="44"/>
    </row>
    <row r="709">
      <c r="A709" s="44"/>
      <c r="B709" s="44"/>
    </row>
    <row r="710">
      <c r="A710" s="44"/>
      <c r="B710" s="44"/>
    </row>
    <row r="711">
      <c r="A711" s="44"/>
      <c r="B711" s="44"/>
    </row>
    <row r="712">
      <c r="A712" s="44"/>
      <c r="B712" s="44"/>
    </row>
    <row r="713">
      <c r="A713" s="44"/>
      <c r="B713" s="44"/>
    </row>
    <row r="714">
      <c r="A714" s="44"/>
      <c r="B714" s="44"/>
    </row>
    <row r="715">
      <c r="A715" s="44"/>
      <c r="B715" s="44"/>
    </row>
    <row r="716">
      <c r="A716" s="44"/>
      <c r="B716" s="44"/>
    </row>
    <row r="717">
      <c r="A717" s="44"/>
      <c r="B717" s="44"/>
    </row>
    <row r="718">
      <c r="A718" s="44"/>
      <c r="B718" s="44"/>
    </row>
    <row r="719">
      <c r="A719" s="44"/>
      <c r="B719" s="44"/>
    </row>
    <row r="720">
      <c r="A720" s="44"/>
      <c r="B720" s="44"/>
    </row>
    <row r="721">
      <c r="A721" s="44"/>
      <c r="B721" s="44"/>
    </row>
    <row r="722">
      <c r="A722" s="44"/>
      <c r="B722" s="44"/>
    </row>
    <row r="723">
      <c r="A723" s="44"/>
      <c r="B723" s="44"/>
    </row>
    <row r="724">
      <c r="A724" s="44"/>
      <c r="B724" s="44"/>
    </row>
    <row r="725">
      <c r="A725" s="44"/>
      <c r="B725" s="44"/>
    </row>
    <row r="726">
      <c r="A726" s="44"/>
      <c r="B726" s="44"/>
    </row>
    <row r="727">
      <c r="A727" s="44"/>
      <c r="B727" s="44"/>
    </row>
    <row r="728">
      <c r="A728" s="44"/>
      <c r="B728" s="44"/>
    </row>
    <row r="729">
      <c r="A729" s="44"/>
      <c r="B729" s="44"/>
    </row>
    <row r="730">
      <c r="A730" s="44"/>
      <c r="B730" s="44"/>
    </row>
    <row r="731">
      <c r="A731" s="44"/>
      <c r="B731" s="44"/>
    </row>
    <row r="732">
      <c r="A732" s="44"/>
      <c r="B732" s="44"/>
    </row>
    <row r="733">
      <c r="A733" s="44"/>
      <c r="B733" s="44"/>
    </row>
    <row r="734">
      <c r="A734" s="44"/>
      <c r="B734" s="44"/>
    </row>
    <row r="735">
      <c r="A735" s="44"/>
      <c r="B735" s="44"/>
    </row>
    <row r="736">
      <c r="A736" s="44"/>
      <c r="B736" s="44"/>
    </row>
    <row r="737">
      <c r="A737" s="44"/>
      <c r="B737" s="44"/>
    </row>
    <row r="738">
      <c r="A738" s="44"/>
      <c r="B738" s="44"/>
    </row>
    <row r="739">
      <c r="A739" s="44"/>
      <c r="B739" s="44"/>
    </row>
    <row r="740">
      <c r="A740" s="44"/>
      <c r="B740" s="44"/>
    </row>
    <row r="741">
      <c r="A741" s="44"/>
      <c r="B741" s="44"/>
    </row>
    <row r="742">
      <c r="A742" s="44"/>
      <c r="B742" s="44"/>
    </row>
    <row r="743">
      <c r="A743" s="44"/>
      <c r="B743" s="44"/>
    </row>
    <row r="744">
      <c r="A744" s="44"/>
      <c r="B744" s="44"/>
    </row>
    <row r="745">
      <c r="A745" s="44"/>
      <c r="B745" s="44"/>
    </row>
    <row r="746">
      <c r="A746" s="44"/>
      <c r="B746" s="44"/>
    </row>
    <row r="747">
      <c r="A747" s="44"/>
      <c r="B747" s="44"/>
    </row>
    <row r="748">
      <c r="A748" s="44"/>
      <c r="B748" s="44"/>
    </row>
    <row r="749">
      <c r="A749" s="44"/>
      <c r="B749" s="44"/>
    </row>
    <row r="750">
      <c r="A750" s="44"/>
      <c r="B750" s="44"/>
    </row>
    <row r="751">
      <c r="A751" s="44"/>
      <c r="B751" s="44"/>
    </row>
    <row r="752">
      <c r="A752" s="44"/>
      <c r="B752" s="44"/>
    </row>
    <row r="753">
      <c r="A753" s="44"/>
      <c r="B753" s="44"/>
    </row>
    <row r="754">
      <c r="A754" s="44"/>
      <c r="B754" s="44"/>
    </row>
    <row r="755">
      <c r="A755" s="44"/>
      <c r="B755" s="44"/>
    </row>
    <row r="756">
      <c r="A756" s="44"/>
      <c r="B756" s="44"/>
    </row>
    <row r="757">
      <c r="A757" s="44"/>
      <c r="B757" s="44"/>
    </row>
    <row r="758">
      <c r="A758" s="44"/>
      <c r="B758" s="44"/>
    </row>
    <row r="759">
      <c r="A759" s="44"/>
      <c r="B759" s="44"/>
    </row>
    <row r="760">
      <c r="A760" s="44"/>
      <c r="B760" s="44"/>
    </row>
    <row r="761">
      <c r="A761" s="44"/>
      <c r="B761" s="44"/>
    </row>
    <row r="762">
      <c r="A762" s="44"/>
      <c r="B762" s="44"/>
    </row>
    <row r="763">
      <c r="A763" s="44"/>
      <c r="B763" s="44"/>
    </row>
    <row r="764">
      <c r="A764" s="44"/>
      <c r="B764" s="44"/>
    </row>
    <row r="765">
      <c r="A765" s="44"/>
      <c r="B765" s="44"/>
    </row>
    <row r="766">
      <c r="A766" s="44"/>
      <c r="B766" s="44"/>
    </row>
    <row r="767">
      <c r="A767" s="44"/>
      <c r="B767" s="44"/>
    </row>
    <row r="768">
      <c r="A768" s="44"/>
      <c r="B768" s="44"/>
    </row>
    <row r="769">
      <c r="A769" s="44"/>
      <c r="B769" s="44"/>
    </row>
    <row r="770">
      <c r="A770" s="44"/>
      <c r="B770" s="44"/>
    </row>
    <row r="771">
      <c r="A771" s="44"/>
      <c r="B771" s="44"/>
    </row>
    <row r="772">
      <c r="A772" s="44"/>
      <c r="B772" s="44"/>
    </row>
    <row r="773">
      <c r="A773" s="44"/>
      <c r="B773" s="44"/>
    </row>
    <row r="774">
      <c r="A774" s="44"/>
      <c r="B774" s="44"/>
    </row>
    <row r="775">
      <c r="A775" s="44"/>
      <c r="B775" s="44"/>
    </row>
    <row r="776">
      <c r="A776" s="44"/>
      <c r="B776" s="44"/>
    </row>
    <row r="777">
      <c r="A777" s="44"/>
      <c r="B777" s="44"/>
    </row>
    <row r="778">
      <c r="A778" s="44"/>
      <c r="B778" s="44"/>
    </row>
    <row r="779">
      <c r="A779" s="44"/>
      <c r="B779" s="44"/>
    </row>
    <row r="780">
      <c r="A780" s="44"/>
      <c r="B780" s="44"/>
    </row>
    <row r="781">
      <c r="A781" s="44"/>
      <c r="B781" s="44"/>
    </row>
    <row r="782">
      <c r="A782" s="44"/>
      <c r="B782" s="44"/>
    </row>
    <row r="783">
      <c r="A783" s="44"/>
      <c r="B783" s="44"/>
    </row>
    <row r="784">
      <c r="A784" s="44"/>
      <c r="B784" s="44"/>
    </row>
    <row r="785">
      <c r="A785" s="44"/>
      <c r="B785" s="44"/>
    </row>
    <row r="786">
      <c r="A786" s="44"/>
      <c r="B786" s="44"/>
    </row>
    <row r="787">
      <c r="A787" s="44"/>
      <c r="B787" s="44"/>
    </row>
    <row r="788">
      <c r="A788" s="44"/>
      <c r="B788" s="44"/>
    </row>
    <row r="789">
      <c r="A789" s="44"/>
      <c r="B789" s="44"/>
    </row>
    <row r="790">
      <c r="A790" s="44"/>
      <c r="B790" s="44"/>
    </row>
    <row r="791">
      <c r="A791" s="44"/>
      <c r="B791" s="44"/>
    </row>
    <row r="792">
      <c r="A792" s="44"/>
      <c r="B792" s="44"/>
    </row>
    <row r="793">
      <c r="A793" s="44"/>
      <c r="B793" s="44"/>
    </row>
    <row r="794">
      <c r="A794" s="44"/>
      <c r="B794" s="44"/>
    </row>
    <row r="795">
      <c r="A795" s="44"/>
      <c r="B795" s="44"/>
    </row>
    <row r="796">
      <c r="A796" s="44"/>
      <c r="B796" s="44"/>
    </row>
    <row r="797">
      <c r="A797" s="44"/>
      <c r="B797" s="44"/>
    </row>
    <row r="798">
      <c r="A798" s="44"/>
      <c r="B798" s="44"/>
    </row>
    <row r="799">
      <c r="A799" s="44"/>
      <c r="B799" s="44"/>
    </row>
    <row r="800">
      <c r="A800" s="44"/>
      <c r="B800" s="44"/>
    </row>
    <row r="801">
      <c r="A801" s="44"/>
      <c r="B801" s="44"/>
    </row>
    <row r="802">
      <c r="A802" s="44"/>
      <c r="B802" s="44"/>
    </row>
    <row r="803">
      <c r="A803" s="44"/>
      <c r="B803" s="44"/>
    </row>
    <row r="804">
      <c r="A804" s="44"/>
      <c r="B804" s="44"/>
    </row>
    <row r="805">
      <c r="A805" s="44"/>
      <c r="B805" s="44"/>
    </row>
    <row r="806">
      <c r="A806" s="44"/>
      <c r="B806" s="44"/>
    </row>
    <row r="807">
      <c r="A807" s="44"/>
      <c r="B807" s="44"/>
    </row>
    <row r="808">
      <c r="A808" s="44"/>
      <c r="B808" s="44"/>
    </row>
    <row r="809">
      <c r="A809" s="44"/>
      <c r="B809" s="44"/>
    </row>
    <row r="810">
      <c r="A810" s="44"/>
      <c r="B810" s="44"/>
    </row>
    <row r="811">
      <c r="A811" s="44"/>
      <c r="B811" s="44"/>
    </row>
    <row r="812">
      <c r="A812" s="44"/>
      <c r="B812" s="44"/>
    </row>
    <row r="813">
      <c r="A813" s="44"/>
      <c r="B813" s="44"/>
    </row>
    <row r="814">
      <c r="A814" s="44"/>
      <c r="B814" s="44"/>
    </row>
    <row r="815">
      <c r="A815" s="44"/>
      <c r="B815" s="44"/>
    </row>
    <row r="816">
      <c r="A816" s="44"/>
      <c r="B816" s="44"/>
    </row>
    <row r="817">
      <c r="A817" s="44"/>
      <c r="B817" s="44"/>
    </row>
    <row r="818">
      <c r="A818" s="44"/>
      <c r="B818" s="44"/>
    </row>
    <row r="819">
      <c r="A819" s="44"/>
      <c r="B819" s="44"/>
    </row>
    <row r="820">
      <c r="A820" s="44"/>
      <c r="B820" s="44"/>
    </row>
    <row r="821">
      <c r="A821" s="44"/>
      <c r="B821" s="44"/>
    </row>
    <row r="822">
      <c r="A822" s="44"/>
      <c r="B822" s="44"/>
    </row>
    <row r="823">
      <c r="A823" s="44"/>
      <c r="B823" s="44"/>
    </row>
    <row r="824">
      <c r="A824" s="44"/>
      <c r="B824" s="44"/>
    </row>
    <row r="825">
      <c r="A825" s="44"/>
      <c r="B825" s="44"/>
    </row>
    <row r="826">
      <c r="A826" s="44"/>
      <c r="B826" s="44"/>
    </row>
    <row r="827">
      <c r="A827" s="44"/>
      <c r="B827" s="44"/>
    </row>
    <row r="828">
      <c r="A828" s="44"/>
      <c r="B828" s="44"/>
    </row>
    <row r="829">
      <c r="A829" s="44"/>
      <c r="B829" s="44"/>
    </row>
    <row r="830">
      <c r="A830" s="44"/>
      <c r="B830" s="44"/>
    </row>
    <row r="831">
      <c r="A831" s="44"/>
      <c r="B831" s="44"/>
    </row>
    <row r="832">
      <c r="A832" s="44"/>
      <c r="B832" s="44"/>
    </row>
    <row r="833">
      <c r="A833" s="44"/>
      <c r="B833" s="44"/>
    </row>
    <row r="834">
      <c r="A834" s="44"/>
      <c r="B834" s="44"/>
    </row>
    <row r="835">
      <c r="A835" s="44"/>
      <c r="B835" s="44"/>
    </row>
    <row r="836">
      <c r="A836" s="44"/>
      <c r="B836" s="44"/>
    </row>
    <row r="837">
      <c r="A837" s="44"/>
      <c r="B837" s="44"/>
    </row>
    <row r="838">
      <c r="A838" s="44"/>
      <c r="B838" s="44"/>
    </row>
    <row r="839">
      <c r="A839" s="44"/>
      <c r="B839" s="44"/>
    </row>
    <row r="840">
      <c r="A840" s="44"/>
      <c r="B840" s="44"/>
    </row>
    <row r="841">
      <c r="A841" s="44"/>
      <c r="B841" s="44"/>
    </row>
    <row r="842">
      <c r="A842" s="44"/>
      <c r="B842" s="44"/>
    </row>
    <row r="843">
      <c r="A843" s="44"/>
      <c r="B843" s="44"/>
    </row>
    <row r="844">
      <c r="A844" s="44"/>
      <c r="B844" s="44"/>
    </row>
    <row r="845">
      <c r="A845" s="44"/>
      <c r="B845" s="44"/>
    </row>
    <row r="846">
      <c r="A846" s="44"/>
      <c r="B846" s="44"/>
    </row>
    <row r="847">
      <c r="A847" s="44"/>
      <c r="B847" s="44"/>
    </row>
    <row r="848">
      <c r="A848" s="44"/>
      <c r="B848" s="44"/>
    </row>
    <row r="849">
      <c r="A849" s="44"/>
      <c r="B849" s="44"/>
    </row>
    <row r="850">
      <c r="A850" s="44"/>
      <c r="B850" s="44"/>
    </row>
    <row r="851">
      <c r="A851" s="44"/>
      <c r="B851" s="44"/>
    </row>
    <row r="852">
      <c r="A852" s="44"/>
      <c r="B852" s="44"/>
    </row>
    <row r="853">
      <c r="A853" s="44"/>
      <c r="B853" s="44"/>
    </row>
    <row r="854">
      <c r="A854" s="44"/>
      <c r="B854" s="44"/>
    </row>
    <row r="855">
      <c r="A855" s="44"/>
      <c r="B855" s="44"/>
    </row>
    <row r="856">
      <c r="A856" s="44"/>
      <c r="B856" s="44"/>
    </row>
    <row r="857">
      <c r="A857" s="44"/>
      <c r="B857" s="44"/>
    </row>
    <row r="858">
      <c r="A858" s="44"/>
      <c r="B858" s="44"/>
    </row>
    <row r="859">
      <c r="A859" s="44"/>
      <c r="B859" s="44"/>
    </row>
    <row r="860">
      <c r="A860" s="44"/>
      <c r="B860" s="44"/>
    </row>
    <row r="861">
      <c r="A861" s="44"/>
      <c r="B861" s="44"/>
    </row>
    <row r="862">
      <c r="A862" s="44"/>
      <c r="B862" s="44"/>
    </row>
    <row r="863">
      <c r="A863" s="44"/>
      <c r="B863" s="44"/>
    </row>
    <row r="864">
      <c r="A864" s="44"/>
      <c r="B864" s="44"/>
    </row>
    <row r="865">
      <c r="A865" s="44"/>
      <c r="B865" s="44"/>
    </row>
    <row r="866">
      <c r="A866" s="44"/>
      <c r="B866" s="44"/>
    </row>
    <row r="867">
      <c r="A867" s="44"/>
      <c r="B867" s="44"/>
    </row>
    <row r="868">
      <c r="A868" s="44"/>
      <c r="B868" s="44"/>
    </row>
    <row r="869">
      <c r="A869" s="44"/>
      <c r="B869" s="44"/>
    </row>
    <row r="870">
      <c r="A870" s="44"/>
      <c r="B870" s="44"/>
    </row>
    <row r="871">
      <c r="A871" s="44"/>
      <c r="B871" s="44"/>
    </row>
    <row r="872">
      <c r="A872" s="44"/>
      <c r="B872" s="44"/>
    </row>
    <row r="873">
      <c r="A873" s="44"/>
      <c r="B873" s="44"/>
    </row>
    <row r="874">
      <c r="A874" s="44"/>
      <c r="B874" s="44"/>
    </row>
    <row r="875">
      <c r="A875" s="44"/>
      <c r="B875" s="44"/>
    </row>
    <row r="876">
      <c r="A876" s="44"/>
      <c r="B876" s="44"/>
    </row>
    <row r="877">
      <c r="A877" s="44"/>
      <c r="B877" s="44"/>
    </row>
    <row r="878">
      <c r="A878" s="44"/>
      <c r="B878" s="44"/>
    </row>
    <row r="879">
      <c r="A879" s="44"/>
      <c r="B879" s="44"/>
    </row>
    <row r="880">
      <c r="A880" s="44"/>
      <c r="B880" s="44"/>
    </row>
    <row r="881">
      <c r="A881" s="44"/>
      <c r="B881" s="44"/>
    </row>
    <row r="882">
      <c r="A882" s="44"/>
      <c r="B882" s="44"/>
    </row>
    <row r="883">
      <c r="A883" s="44"/>
      <c r="B883" s="44"/>
    </row>
    <row r="884">
      <c r="A884" s="44"/>
      <c r="B884" s="44"/>
    </row>
    <row r="885">
      <c r="A885" s="44"/>
      <c r="B885" s="44"/>
    </row>
    <row r="886">
      <c r="A886" s="44"/>
      <c r="B886" s="44"/>
    </row>
    <row r="887">
      <c r="A887" s="44"/>
      <c r="B887" s="44"/>
    </row>
    <row r="888">
      <c r="A888" s="44"/>
      <c r="B888" s="44"/>
    </row>
    <row r="889">
      <c r="A889" s="44"/>
      <c r="B889" s="44"/>
    </row>
    <row r="890">
      <c r="A890" s="44"/>
      <c r="B890" s="44"/>
    </row>
    <row r="891">
      <c r="A891" s="44"/>
      <c r="B891" s="44"/>
    </row>
    <row r="892">
      <c r="A892" s="44"/>
      <c r="B892" s="44"/>
    </row>
    <row r="893">
      <c r="A893" s="44"/>
      <c r="B893" s="44"/>
    </row>
    <row r="894">
      <c r="A894" s="44"/>
      <c r="B894" s="44"/>
    </row>
    <row r="895">
      <c r="A895" s="44"/>
      <c r="B895" s="44"/>
    </row>
    <row r="896">
      <c r="A896" s="44"/>
      <c r="B896" s="44"/>
    </row>
    <row r="897">
      <c r="A897" s="44"/>
      <c r="B897" s="44"/>
    </row>
    <row r="898">
      <c r="A898" s="44"/>
      <c r="B898" s="44"/>
    </row>
    <row r="899">
      <c r="A899" s="44"/>
      <c r="B899" s="44"/>
    </row>
    <row r="900">
      <c r="A900" s="44"/>
      <c r="B900" s="44"/>
    </row>
    <row r="901">
      <c r="A901" s="44"/>
      <c r="B901" s="44"/>
    </row>
    <row r="902">
      <c r="A902" s="44"/>
      <c r="B902" s="44"/>
    </row>
    <row r="903">
      <c r="A903" s="44"/>
      <c r="B903" s="44"/>
    </row>
    <row r="904">
      <c r="A904" s="44"/>
      <c r="B904" s="44"/>
    </row>
    <row r="905">
      <c r="A905" s="44"/>
      <c r="B905" s="44"/>
    </row>
    <row r="906">
      <c r="A906" s="44"/>
      <c r="B906" s="44"/>
    </row>
    <row r="907">
      <c r="A907" s="44"/>
      <c r="B907" s="44"/>
    </row>
    <row r="908">
      <c r="A908" s="44"/>
      <c r="B908" s="44"/>
    </row>
    <row r="909">
      <c r="A909" s="44"/>
      <c r="B909" s="44"/>
    </row>
    <row r="910">
      <c r="A910" s="44"/>
      <c r="B910" s="44"/>
    </row>
    <row r="911">
      <c r="A911" s="44"/>
      <c r="B911" s="44"/>
    </row>
    <row r="912">
      <c r="A912" s="44"/>
      <c r="B912" s="44"/>
    </row>
    <row r="913">
      <c r="A913" s="44"/>
      <c r="B913" s="44"/>
    </row>
    <row r="914">
      <c r="A914" s="44"/>
      <c r="B914" s="44"/>
    </row>
    <row r="915">
      <c r="A915" s="44"/>
      <c r="B915" s="44"/>
    </row>
    <row r="916">
      <c r="A916" s="44"/>
      <c r="B916" s="44"/>
    </row>
    <row r="917">
      <c r="A917" s="44"/>
      <c r="B917" s="44"/>
    </row>
    <row r="918">
      <c r="A918" s="44"/>
      <c r="B918" s="44"/>
    </row>
    <row r="919">
      <c r="A919" s="44"/>
      <c r="B919" s="44"/>
    </row>
    <row r="920">
      <c r="A920" s="44"/>
      <c r="B920" s="44"/>
    </row>
    <row r="921">
      <c r="A921" s="44"/>
      <c r="B921" s="44"/>
    </row>
    <row r="922">
      <c r="A922" s="44"/>
      <c r="B922" s="44"/>
    </row>
    <row r="923">
      <c r="A923" s="44"/>
      <c r="B923" s="44"/>
    </row>
    <row r="924">
      <c r="A924" s="44"/>
      <c r="B924" s="44"/>
    </row>
    <row r="925">
      <c r="A925" s="44"/>
      <c r="B925" s="44"/>
    </row>
    <row r="926">
      <c r="A926" s="44"/>
      <c r="B926" s="44"/>
    </row>
    <row r="927">
      <c r="A927" s="44"/>
      <c r="B927" s="44"/>
    </row>
    <row r="928">
      <c r="A928" s="44"/>
      <c r="B928" s="44"/>
    </row>
    <row r="929">
      <c r="A929" s="44"/>
      <c r="B929" s="44"/>
    </row>
    <row r="930">
      <c r="A930" s="44"/>
      <c r="B930" s="44"/>
    </row>
    <row r="931">
      <c r="A931" s="44"/>
      <c r="B931" s="44"/>
    </row>
    <row r="932">
      <c r="A932" s="44"/>
      <c r="B932" s="44"/>
    </row>
    <row r="933">
      <c r="A933" s="44"/>
      <c r="B933" s="44"/>
    </row>
    <row r="934">
      <c r="A934" s="44"/>
      <c r="B934" s="44"/>
    </row>
    <row r="935">
      <c r="A935" s="44"/>
      <c r="B935" s="44"/>
    </row>
    <row r="936">
      <c r="A936" s="44"/>
      <c r="B936" s="44"/>
    </row>
    <row r="937">
      <c r="A937" s="44"/>
      <c r="B937" s="44"/>
    </row>
    <row r="938">
      <c r="A938" s="44"/>
      <c r="B938" s="44"/>
    </row>
    <row r="939">
      <c r="A939" s="44"/>
      <c r="B939" s="44"/>
    </row>
    <row r="940">
      <c r="A940" s="44"/>
      <c r="B940" s="44"/>
    </row>
    <row r="941">
      <c r="A941" s="44"/>
      <c r="B941" s="44"/>
    </row>
    <row r="942">
      <c r="A942" s="44"/>
      <c r="B942" s="44"/>
    </row>
    <row r="943">
      <c r="A943" s="44"/>
      <c r="B943" s="44"/>
    </row>
    <row r="944">
      <c r="A944" s="44"/>
      <c r="B944" s="44"/>
    </row>
    <row r="945">
      <c r="A945" s="44"/>
      <c r="B945" s="44"/>
    </row>
    <row r="946">
      <c r="A946" s="44"/>
      <c r="B946" s="44"/>
    </row>
    <row r="947">
      <c r="A947" s="44"/>
      <c r="B947" s="44"/>
    </row>
    <row r="948">
      <c r="A948" s="44"/>
      <c r="B948" s="44"/>
    </row>
    <row r="949">
      <c r="A949" s="44"/>
      <c r="B949" s="44"/>
    </row>
    <row r="950">
      <c r="A950" s="44"/>
      <c r="B950" s="44"/>
    </row>
    <row r="951">
      <c r="A951" s="44"/>
      <c r="B951" s="44"/>
    </row>
    <row r="952">
      <c r="A952" s="44"/>
      <c r="B952" s="44"/>
    </row>
    <row r="953">
      <c r="A953" s="44"/>
      <c r="B953" s="44"/>
    </row>
    <row r="954">
      <c r="A954" s="44"/>
      <c r="B954" s="44"/>
    </row>
    <row r="955">
      <c r="A955" s="44"/>
      <c r="B955" s="44"/>
    </row>
    <row r="956">
      <c r="A956" s="44"/>
      <c r="B956" s="44"/>
    </row>
    <row r="957">
      <c r="A957" s="44"/>
      <c r="B957" s="44"/>
    </row>
    <row r="958">
      <c r="A958" s="44"/>
      <c r="B958" s="44"/>
    </row>
    <row r="959">
      <c r="A959" s="44"/>
      <c r="B959" s="44"/>
    </row>
    <row r="960">
      <c r="A960" s="44"/>
      <c r="B960" s="44"/>
    </row>
    <row r="961">
      <c r="A961" s="44"/>
      <c r="B961" s="44"/>
    </row>
    <row r="962">
      <c r="A962" s="44"/>
      <c r="B962" s="44"/>
    </row>
    <row r="963">
      <c r="A963" s="44"/>
      <c r="B963" s="44"/>
    </row>
    <row r="964">
      <c r="A964" s="44"/>
      <c r="B964" s="44"/>
    </row>
    <row r="965">
      <c r="A965" s="44"/>
      <c r="B965" s="44"/>
    </row>
    <row r="966">
      <c r="A966" s="44"/>
      <c r="B966" s="44"/>
    </row>
    <row r="967">
      <c r="A967" s="44"/>
      <c r="B967" s="44"/>
    </row>
    <row r="968">
      <c r="A968" s="44"/>
      <c r="B968" s="44"/>
    </row>
    <row r="969">
      <c r="A969" s="44"/>
      <c r="B969" s="44"/>
    </row>
    <row r="970">
      <c r="A970" s="44"/>
      <c r="B970" s="44"/>
    </row>
    <row r="971">
      <c r="A971" s="44"/>
      <c r="B971" s="44"/>
    </row>
    <row r="972">
      <c r="A972" s="44"/>
      <c r="B972" s="44"/>
    </row>
    <row r="973">
      <c r="A973" s="44"/>
      <c r="B973" s="44"/>
    </row>
    <row r="974">
      <c r="A974" s="44"/>
      <c r="B974" s="44"/>
    </row>
    <row r="975">
      <c r="A975" s="44"/>
      <c r="B975" s="44"/>
    </row>
    <row r="976">
      <c r="A976" s="44"/>
      <c r="B976" s="44"/>
    </row>
    <row r="977">
      <c r="A977" s="44"/>
      <c r="B977" s="44"/>
    </row>
    <row r="978">
      <c r="A978" s="44"/>
      <c r="B978" s="44"/>
    </row>
    <row r="979">
      <c r="A979" s="44"/>
      <c r="B979" s="44"/>
    </row>
    <row r="980">
      <c r="A980" s="44"/>
      <c r="B980" s="44"/>
    </row>
    <row r="981">
      <c r="A981" s="44"/>
      <c r="B981" s="44"/>
    </row>
    <row r="982">
      <c r="A982" s="44"/>
      <c r="B982" s="44"/>
    </row>
    <row r="983">
      <c r="A983" s="44"/>
      <c r="B983" s="44"/>
    </row>
    <row r="984">
      <c r="A984" s="44"/>
      <c r="B984" s="44"/>
    </row>
    <row r="985">
      <c r="A985" s="44"/>
      <c r="B985" s="44"/>
    </row>
    <row r="986">
      <c r="A986" s="44"/>
      <c r="B986" s="44"/>
    </row>
    <row r="987">
      <c r="A987" s="44"/>
      <c r="B987" s="44"/>
    </row>
    <row r="988">
      <c r="A988" s="44"/>
      <c r="B988" s="44"/>
    </row>
    <row r="989">
      <c r="A989" s="44"/>
      <c r="B989" s="44"/>
    </row>
    <row r="990">
      <c r="A990" s="44"/>
      <c r="B990" s="44"/>
    </row>
    <row r="991">
      <c r="A991" s="44"/>
      <c r="B991" s="44"/>
    </row>
    <row r="992">
      <c r="A992" s="44"/>
      <c r="B992" s="44"/>
    </row>
    <row r="993">
      <c r="A993" s="44"/>
      <c r="B993" s="44"/>
    </row>
    <row r="994">
      <c r="A994" s="44"/>
      <c r="B994" s="44"/>
    </row>
    <row r="995">
      <c r="A995" s="44"/>
      <c r="B995" s="44"/>
    </row>
    <row r="996">
      <c r="A996" s="44"/>
      <c r="B996" s="44"/>
    </row>
    <row r="997">
      <c r="A997" s="44"/>
      <c r="B997" s="44"/>
    </row>
    <row r="998">
      <c r="A998" s="44"/>
      <c r="B998" s="44"/>
    </row>
    <row r="999">
      <c r="A999" s="44"/>
      <c r="B999" s="44"/>
    </row>
    <row r="1000">
      <c r="A1000" s="44"/>
      <c r="B1000" s="44"/>
    </row>
    <row r="1001">
      <c r="A1001" s="44"/>
      <c r="B1001" s="44"/>
    </row>
    <row r="1002">
      <c r="A1002" s="44"/>
      <c r="B1002" s="44"/>
    </row>
    <row r="1003">
      <c r="A1003" s="44"/>
      <c r="B1003" s="44"/>
    </row>
    <row r="1004">
      <c r="A1004" s="44"/>
      <c r="B1004" s="44"/>
    </row>
    <row r="1005">
      <c r="A1005" s="44"/>
      <c r="B1005" s="44"/>
    </row>
    <row r="1006">
      <c r="A1006" s="44"/>
      <c r="B1006" s="44"/>
    </row>
    <row r="1007">
      <c r="A1007" s="44"/>
      <c r="B1007" s="44"/>
    </row>
    <row r="1008">
      <c r="A1008" s="44"/>
      <c r="B1008" s="44"/>
    </row>
    <row r="1009">
      <c r="A1009" s="44"/>
      <c r="B1009" s="44"/>
    </row>
    <row r="1010">
      <c r="A1010" s="44"/>
      <c r="B1010" s="44"/>
    </row>
    <row r="1011">
      <c r="A1011" s="44"/>
      <c r="B1011" s="44"/>
    </row>
    <row r="1012">
      <c r="A1012" s="44"/>
      <c r="B1012" s="44"/>
    </row>
  </sheetData>
  <mergeCells count="8">
    <mergeCell ref="B5:B6"/>
    <mergeCell ref="C5:C6"/>
    <mergeCell ref="D5:F5"/>
    <mergeCell ref="H5:J5"/>
    <mergeCell ref="L5:L6"/>
    <mergeCell ref="N5:N6"/>
    <mergeCell ref="P5:P6"/>
    <mergeCell ref="R5:R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C3" s="48" t="s">
        <v>46</v>
      </c>
      <c r="D3" s="48" t="s">
        <v>47</v>
      </c>
      <c r="E3" s="48" t="s">
        <v>48</v>
      </c>
      <c r="F3" s="48" t="s">
        <v>49</v>
      </c>
      <c r="G3" s="48" t="s">
        <v>50</v>
      </c>
    </row>
    <row r="4">
      <c r="B4" s="48" t="s">
        <v>51</v>
      </c>
      <c r="C4" s="56">
        <f>IFERROR(__xludf.DUMMYFUNCTION("GOOGLEFINANCE($B4)"),343.15)</f>
        <v>343.15</v>
      </c>
      <c r="D4" s="57">
        <v>313.0</v>
      </c>
      <c r="E4" s="58">
        <v>363.0</v>
      </c>
      <c r="F4" s="59">
        <v>599.0</v>
      </c>
      <c r="G4" s="59">
        <v>1161.0</v>
      </c>
    </row>
    <row r="5">
      <c r="B5" s="48" t="s">
        <v>21</v>
      </c>
      <c r="C5" s="60">
        <f>IFERROR(__xludf.DUMMYFUNCTION("GOOGLEFINANCE($B5)"),91.22)</f>
        <v>91.22</v>
      </c>
      <c r="D5" s="59">
        <v>66.0</v>
      </c>
      <c r="E5" s="57">
        <v>84.0</v>
      </c>
      <c r="F5" s="58">
        <v>109.0</v>
      </c>
      <c r="G5" s="59">
        <v>144.0</v>
      </c>
    </row>
    <row r="6">
      <c r="B6" s="48" t="s">
        <v>24</v>
      </c>
      <c r="C6" s="56">
        <f>IFERROR(__xludf.DUMMYFUNCTION("GOOGLEFINANCE($B6)"),225.35)</f>
        <v>225.35</v>
      </c>
      <c r="D6" s="57">
        <v>236.0</v>
      </c>
      <c r="E6" s="58">
        <v>330.0</v>
      </c>
      <c r="F6" s="59">
        <v>456.0</v>
      </c>
      <c r="G6" s="59">
        <v>662.0</v>
      </c>
    </row>
    <row r="7">
      <c r="B7" s="48" t="s">
        <v>22</v>
      </c>
      <c r="C7" s="60">
        <f>IFERROR(__xludf.DUMMYFUNCTION("GOOGLEFINANCE($B7)"),138.09)</f>
        <v>138.09</v>
      </c>
      <c r="D7" s="59">
        <v>86.0</v>
      </c>
      <c r="E7" s="57">
        <v>131.0</v>
      </c>
      <c r="F7" s="58">
        <v>248.0</v>
      </c>
      <c r="G7" s="59">
        <v>438.0</v>
      </c>
    </row>
    <row r="8">
      <c r="B8" s="48" t="s">
        <v>52</v>
      </c>
      <c r="D8" s="61"/>
      <c r="E8" s="61"/>
      <c r="F8" s="61"/>
      <c r="G8" s="61"/>
    </row>
    <row r="9">
      <c r="B9" s="48" t="s">
        <v>25</v>
      </c>
      <c r="D9" s="61"/>
      <c r="E9" s="61"/>
      <c r="F9" s="61"/>
      <c r="G9" s="61"/>
    </row>
    <row r="10">
      <c r="B10" s="48" t="s">
        <v>53</v>
      </c>
      <c r="D10" s="61"/>
      <c r="E10" s="61"/>
      <c r="F10" s="61"/>
      <c r="G10" s="61"/>
    </row>
    <row r="11">
      <c r="D11" s="61"/>
      <c r="E11" s="61"/>
      <c r="F11" s="61"/>
      <c r="G11" s="61"/>
    </row>
    <row r="12">
      <c r="D12" s="61"/>
      <c r="E12" s="61"/>
      <c r="F12" s="61"/>
      <c r="G12" s="61"/>
    </row>
    <row r="13">
      <c r="B13" s="48" t="s">
        <v>54</v>
      </c>
      <c r="D13" s="61"/>
      <c r="E13" s="61"/>
      <c r="F13" s="61"/>
      <c r="G13" s="61"/>
    </row>
    <row r="14">
      <c r="B14" s="48" t="s">
        <v>55</v>
      </c>
      <c r="D14" s="61"/>
      <c r="E14" s="61"/>
      <c r="F14" s="61"/>
      <c r="G14" s="61"/>
    </row>
    <row r="15">
      <c r="D15" s="61"/>
      <c r="E15" s="61"/>
      <c r="F15" s="61"/>
      <c r="G15" s="61"/>
    </row>
    <row r="16">
      <c r="D16" s="61"/>
      <c r="E16" s="61"/>
      <c r="F16" s="61"/>
      <c r="G16" s="61"/>
    </row>
    <row r="17">
      <c r="D17" s="61"/>
      <c r="E17" s="61"/>
      <c r="F17" s="61"/>
      <c r="G17" s="61"/>
    </row>
    <row r="18">
      <c r="D18" s="61"/>
      <c r="E18" s="61"/>
      <c r="F18" s="61"/>
      <c r="G18" s="6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6.38"/>
    <col customWidth="1" min="3" max="3" width="21.0"/>
    <col customWidth="1" min="4" max="9" width="15.75"/>
  </cols>
  <sheetData>
    <row r="1">
      <c r="A1" s="48"/>
      <c r="B1" s="48"/>
      <c r="C1" s="48"/>
      <c r="D1" s="48"/>
      <c r="E1" s="48"/>
      <c r="F1" s="48"/>
      <c r="H1" s="48"/>
      <c r="I1" s="48"/>
    </row>
    <row r="2">
      <c r="A2" s="48"/>
      <c r="B2" s="48" t="s">
        <v>56</v>
      </c>
      <c r="C2" s="48" t="s">
        <v>35</v>
      </c>
      <c r="D2" s="48" t="s">
        <v>35</v>
      </c>
      <c r="E2" s="48" t="s">
        <v>35</v>
      </c>
      <c r="F2" s="48" t="s">
        <v>35</v>
      </c>
      <c r="H2" s="62" t="s">
        <v>57</v>
      </c>
      <c r="I2" s="62">
        <v>3.0</v>
      </c>
    </row>
    <row r="3">
      <c r="A3" s="48"/>
      <c r="B3" s="48" t="s">
        <v>58</v>
      </c>
      <c r="D3" s="48" t="s">
        <v>35</v>
      </c>
      <c r="E3" s="48" t="s">
        <v>35</v>
      </c>
      <c r="F3" s="48" t="s">
        <v>35</v>
      </c>
      <c r="G3" s="48" t="s">
        <v>35</v>
      </c>
      <c r="H3" s="63" t="s">
        <v>59</v>
      </c>
      <c r="I3" s="64">
        <v>35.0</v>
      </c>
    </row>
    <row r="4">
      <c r="A4" s="48"/>
      <c r="B4" s="48" t="s">
        <v>60</v>
      </c>
      <c r="C4" s="48" t="s">
        <v>61</v>
      </c>
      <c r="D4" s="48" t="s">
        <v>62</v>
      </c>
      <c r="E4" s="48" t="s">
        <v>63</v>
      </c>
      <c r="F4" s="48" t="s">
        <v>64</v>
      </c>
      <c r="G4" s="48" t="s">
        <v>35</v>
      </c>
      <c r="H4" s="63" t="s">
        <v>65</v>
      </c>
      <c r="I4" s="64">
        <v>104.0</v>
      </c>
    </row>
    <row r="5">
      <c r="A5" s="65"/>
      <c r="B5" s="65" t="s">
        <v>66</v>
      </c>
      <c r="C5" s="48" t="s">
        <v>67</v>
      </c>
      <c r="D5" s="66">
        <v>0.1</v>
      </c>
      <c r="E5" s="66">
        <v>0.15</v>
      </c>
      <c r="F5" s="66">
        <v>0.2</v>
      </c>
      <c r="G5" s="48" t="s">
        <v>35</v>
      </c>
      <c r="H5" s="63" t="s">
        <v>68</v>
      </c>
      <c r="I5" s="64">
        <v>411.0</v>
      </c>
    </row>
    <row r="6">
      <c r="A6" s="65"/>
      <c r="C6" s="48" t="s">
        <v>69</v>
      </c>
      <c r="D6" s="66">
        <v>0.2</v>
      </c>
      <c r="E6" s="66">
        <v>0.35</v>
      </c>
      <c r="F6" s="66">
        <v>0.5</v>
      </c>
      <c r="G6" s="48" t="s">
        <v>35</v>
      </c>
      <c r="H6" s="48" t="s">
        <v>35</v>
      </c>
      <c r="I6" s="48"/>
    </row>
    <row r="7">
      <c r="A7" s="65"/>
      <c r="C7" s="48" t="s">
        <v>70</v>
      </c>
      <c r="D7" s="66">
        <v>0.15</v>
      </c>
      <c r="E7" s="66">
        <v>0.25</v>
      </c>
      <c r="F7" s="66">
        <v>0.4</v>
      </c>
      <c r="G7" s="48" t="s">
        <v>35</v>
      </c>
      <c r="H7" s="48" t="s">
        <v>35</v>
      </c>
      <c r="I7" s="48"/>
    </row>
    <row r="8">
      <c r="A8" s="65"/>
      <c r="B8" s="65" t="s">
        <v>71</v>
      </c>
      <c r="C8" s="48" t="s">
        <v>72</v>
      </c>
      <c r="D8" s="66">
        <v>0.2</v>
      </c>
      <c r="E8" s="66">
        <v>0.25</v>
      </c>
      <c r="F8" s="66">
        <v>0.35</v>
      </c>
      <c r="G8" s="48" t="s">
        <v>35</v>
      </c>
      <c r="H8" s="48" t="s">
        <v>35</v>
      </c>
      <c r="I8" s="48"/>
    </row>
    <row r="9">
      <c r="A9" s="65"/>
      <c r="C9" s="48" t="s">
        <v>73</v>
      </c>
      <c r="D9" s="66">
        <v>0.11</v>
      </c>
      <c r="E9" s="66">
        <v>0.09</v>
      </c>
      <c r="F9" s="66">
        <v>0.08</v>
      </c>
      <c r="G9" s="48" t="s">
        <v>35</v>
      </c>
      <c r="H9" s="48" t="s">
        <v>35</v>
      </c>
      <c r="I9" s="48"/>
    </row>
    <row r="10">
      <c r="A10" s="65"/>
      <c r="B10" s="65" t="s">
        <v>74</v>
      </c>
      <c r="C10" s="48" t="s">
        <v>75</v>
      </c>
      <c r="D10" s="66">
        <v>0.11</v>
      </c>
      <c r="E10" s="66">
        <v>0.1</v>
      </c>
      <c r="F10" s="66">
        <v>0.09</v>
      </c>
      <c r="G10" s="48" t="s">
        <v>35</v>
      </c>
      <c r="H10" s="48" t="s">
        <v>35</v>
      </c>
      <c r="I10" s="48"/>
    </row>
    <row r="11">
      <c r="A11" s="65"/>
      <c r="C11" s="48" t="s">
        <v>76</v>
      </c>
      <c r="D11" s="66">
        <v>0.02</v>
      </c>
      <c r="E11" s="66">
        <v>0.03</v>
      </c>
      <c r="F11" s="66">
        <v>0.05</v>
      </c>
      <c r="G11" s="48" t="s">
        <v>35</v>
      </c>
      <c r="H11" s="48" t="s">
        <v>35</v>
      </c>
      <c r="I11" s="48"/>
    </row>
    <row r="12">
      <c r="A12" s="48"/>
      <c r="B12" s="48" t="s">
        <v>35</v>
      </c>
      <c r="C12" s="48" t="s">
        <v>35</v>
      </c>
      <c r="D12" s="48" t="s">
        <v>35</v>
      </c>
      <c r="E12" s="48" t="s">
        <v>35</v>
      </c>
      <c r="F12" s="48" t="s">
        <v>35</v>
      </c>
      <c r="G12" s="48" t="s">
        <v>35</v>
      </c>
      <c r="H12" s="48" t="s">
        <v>35</v>
      </c>
      <c r="I12" s="48" t="s">
        <v>35</v>
      </c>
    </row>
    <row r="13">
      <c r="A13" s="48"/>
      <c r="B13" s="48" t="s">
        <v>77</v>
      </c>
      <c r="C13" s="48" t="s">
        <v>35</v>
      </c>
      <c r="D13" s="48" t="s">
        <v>35</v>
      </c>
      <c r="E13" s="48" t="s">
        <v>35</v>
      </c>
      <c r="F13" s="48" t="s">
        <v>35</v>
      </c>
      <c r="G13" s="48" t="s">
        <v>35</v>
      </c>
      <c r="H13" s="48" t="s">
        <v>35</v>
      </c>
      <c r="I13" s="48"/>
    </row>
    <row r="14">
      <c r="A14" s="48"/>
      <c r="B14" s="48" t="s">
        <v>60</v>
      </c>
      <c r="C14" s="48" t="s">
        <v>61</v>
      </c>
      <c r="D14" s="48" t="s">
        <v>78</v>
      </c>
      <c r="E14" s="48" t="s">
        <v>79</v>
      </c>
      <c r="F14" s="48" t="s">
        <v>80</v>
      </c>
      <c r="G14" s="48" t="s">
        <v>81</v>
      </c>
      <c r="H14" s="48" t="s">
        <v>82</v>
      </c>
      <c r="I14" s="48" t="s">
        <v>83</v>
      </c>
    </row>
    <row r="15">
      <c r="A15" s="65"/>
      <c r="B15" s="65" t="s">
        <v>84</v>
      </c>
      <c r="C15" s="48" t="s">
        <v>85</v>
      </c>
      <c r="D15" s="48" t="s">
        <v>35</v>
      </c>
      <c r="E15" s="66">
        <f t="shared" ref="E15:E19" si="1">CHOOSE($I$2,D5,E5,F5)</f>
        <v>0.2</v>
      </c>
      <c r="F15" s="66">
        <f t="shared" ref="F15:F17" si="2">CHOOSE($I$2,D5,E5,F5)</f>
        <v>0.2</v>
      </c>
      <c r="G15" s="66">
        <f t="shared" ref="G15:G17" si="3">CHOOSE($I$2,D5,E5,F5)</f>
        <v>0.2</v>
      </c>
      <c r="H15" s="66">
        <f t="shared" ref="H15:H17" si="4">CHOOSE($I$2,D5,E5,F5)</f>
        <v>0.2</v>
      </c>
      <c r="I15" s="66">
        <f t="shared" ref="I15:I17" si="5">CHOOSE($I$2,D5,E5,F5)</f>
        <v>0.2</v>
      </c>
    </row>
    <row r="16">
      <c r="A16" s="65"/>
      <c r="C16" s="48" t="s">
        <v>86</v>
      </c>
      <c r="D16" s="48" t="s">
        <v>35</v>
      </c>
      <c r="E16" s="66">
        <f t="shared" si="1"/>
        <v>0.5</v>
      </c>
      <c r="F16" s="66">
        <f t="shared" si="2"/>
        <v>0.5</v>
      </c>
      <c r="G16" s="66">
        <f t="shared" si="3"/>
        <v>0.5</v>
      </c>
      <c r="H16" s="66">
        <f t="shared" si="4"/>
        <v>0.5</v>
      </c>
      <c r="I16" s="66">
        <f t="shared" si="5"/>
        <v>0.5</v>
      </c>
    </row>
    <row r="17">
      <c r="A17" s="65"/>
      <c r="C17" s="48" t="s">
        <v>87</v>
      </c>
      <c r="D17" s="48" t="s">
        <v>35</v>
      </c>
      <c r="E17" s="66">
        <f t="shared" si="1"/>
        <v>0.4</v>
      </c>
      <c r="F17" s="66">
        <f t="shared" si="2"/>
        <v>0.4</v>
      </c>
      <c r="G17" s="66">
        <f t="shared" si="3"/>
        <v>0.4</v>
      </c>
      <c r="H17" s="66">
        <f t="shared" si="4"/>
        <v>0.4</v>
      </c>
      <c r="I17" s="66">
        <f t="shared" si="5"/>
        <v>0.4</v>
      </c>
    </row>
    <row r="18">
      <c r="A18" s="65"/>
      <c r="C18" s="48" t="s">
        <v>88</v>
      </c>
      <c r="D18" s="48" t="s">
        <v>35</v>
      </c>
      <c r="E18" s="66">
        <f t="shared" si="1"/>
        <v>0.35</v>
      </c>
      <c r="F18" s="66">
        <f t="shared" ref="F18:I18" si="6">E18+1%</f>
        <v>0.36</v>
      </c>
      <c r="G18" s="66">
        <f t="shared" si="6"/>
        <v>0.37</v>
      </c>
      <c r="H18" s="66">
        <f t="shared" si="6"/>
        <v>0.38</v>
      </c>
      <c r="I18" s="66">
        <f t="shared" si="6"/>
        <v>0.39</v>
      </c>
    </row>
    <row r="19">
      <c r="A19" s="65"/>
      <c r="C19" s="48" t="s">
        <v>89</v>
      </c>
      <c r="D19" s="48" t="s">
        <v>35</v>
      </c>
      <c r="E19" s="66">
        <f t="shared" si="1"/>
        <v>0.08</v>
      </c>
      <c r="F19" s="66">
        <f>CHOOSE($I$2,D9,E9,F9)</f>
        <v>0.08</v>
      </c>
      <c r="G19" s="66">
        <f>CHOOSE($I$2,D9,E9,F9)</f>
        <v>0.08</v>
      </c>
      <c r="H19" s="66">
        <f>CHOOSE($I$2,D9,E9,F9)</f>
        <v>0.08</v>
      </c>
      <c r="I19" s="66">
        <f>CHOOSE($I$2,D9,E9,F9)</f>
        <v>0.08</v>
      </c>
    </row>
    <row r="20">
      <c r="A20" s="65"/>
      <c r="C20" s="48" t="s">
        <v>90</v>
      </c>
      <c r="D20" s="48" t="s">
        <v>35</v>
      </c>
      <c r="E20" s="66">
        <v>0.21</v>
      </c>
      <c r="F20" s="48" t="s">
        <v>35</v>
      </c>
      <c r="G20" s="48" t="s">
        <v>35</v>
      </c>
      <c r="H20" s="48" t="s">
        <v>35</v>
      </c>
      <c r="I20" s="48"/>
    </row>
    <row r="21">
      <c r="A21" s="65"/>
      <c r="C21" s="48" t="s">
        <v>91</v>
      </c>
      <c r="D21" s="48" t="s">
        <v>35</v>
      </c>
      <c r="E21" s="66">
        <f t="shared" ref="E21:E22" si="7">CHOOSE($I$2,D10,E10,F10)</f>
        <v>0.09</v>
      </c>
      <c r="F21" s="48" t="s">
        <v>35</v>
      </c>
      <c r="G21" s="48" t="s">
        <v>35</v>
      </c>
      <c r="H21" s="48" t="s">
        <v>35</v>
      </c>
      <c r="I21" s="48"/>
    </row>
    <row r="22">
      <c r="A22" s="65"/>
      <c r="C22" s="48" t="s">
        <v>92</v>
      </c>
      <c r="D22" s="48" t="s">
        <v>35</v>
      </c>
      <c r="E22" s="66">
        <f t="shared" si="7"/>
        <v>0.05</v>
      </c>
      <c r="F22" s="48" t="s">
        <v>35</v>
      </c>
      <c r="G22" s="48" t="s">
        <v>35</v>
      </c>
      <c r="H22" s="48" t="s">
        <v>35</v>
      </c>
      <c r="I22" s="48"/>
    </row>
    <row r="23">
      <c r="A23" s="48"/>
      <c r="B23" s="48" t="s">
        <v>35</v>
      </c>
      <c r="C23" s="48" t="s">
        <v>35</v>
      </c>
      <c r="D23" s="48" t="s">
        <v>35</v>
      </c>
      <c r="E23" s="48" t="s">
        <v>35</v>
      </c>
      <c r="F23" s="48" t="s">
        <v>35</v>
      </c>
      <c r="G23" s="48" t="s">
        <v>35</v>
      </c>
      <c r="H23" s="48" t="s">
        <v>35</v>
      </c>
      <c r="I23" s="48"/>
    </row>
    <row r="24">
      <c r="A24" s="48"/>
      <c r="B24" s="48" t="s">
        <v>93</v>
      </c>
      <c r="C24" s="48" t="s">
        <v>35</v>
      </c>
      <c r="D24" s="48" t="s">
        <v>35</v>
      </c>
      <c r="E24" s="48" t="s">
        <v>35</v>
      </c>
      <c r="F24" s="48" t="s">
        <v>35</v>
      </c>
      <c r="G24" s="48" t="s">
        <v>35</v>
      </c>
      <c r="H24" s="48" t="s">
        <v>35</v>
      </c>
      <c r="I24" s="48"/>
    </row>
    <row r="25">
      <c r="A25" s="65"/>
      <c r="B25" s="65" t="s">
        <v>94</v>
      </c>
      <c r="C25" s="48" t="s">
        <v>95</v>
      </c>
      <c r="D25" s="59">
        <v>77100.0</v>
      </c>
      <c r="E25" s="59">
        <f t="shared" ref="E25:I25" si="8">D25*(1+E15)</f>
        <v>92520</v>
      </c>
      <c r="F25" s="59">
        <f t="shared" si="8"/>
        <v>111024</v>
      </c>
      <c r="G25" s="59">
        <f t="shared" si="8"/>
        <v>133228.8</v>
      </c>
      <c r="H25" s="59">
        <f t="shared" si="8"/>
        <v>159874.56</v>
      </c>
      <c r="I25" s="59">
        <f t="shared" si="8"/>
        <v>191849.472</v>
      </c>
    </row>
    <row r="26">
      <c r="A26" s="65"/>
      <c r="C26" s="48" t="s">
        <v>96</v>
      </c>
      <c r="D26" s="59">
        <v>10090.0</v>
      </c>
      <c r="E26" s="59">
        <f t="shared" ref="E26:I26" si="9">D26*(1+E16)</f>
        <v>15135</v>
      </c>
      <c r="F26" s="59">
        <f t="shared" si="9"/>
        <v>22702.5</v>
      </c>
      <c r="G26" s="59">
        <f t="shared" si="9"/>
        <v>34053.75</v>
      </c>
      <c r="H26" s="59">
        <f t="shared" si="9"/>
        <v>51080.625</v>
      </c>
      <c r="I26" s="59">
        <f t="shared" si="9"/>
        <v>76620.9375</v>
      </c>
    </row>
    <row r="27">
      <c r="A27" s="65"/>
      <c r="C27" s="48" t="s">
        <v>97</v>
      </c>
      <c r="D27" s="59">
        <v>10530.0</v>
      </c>
      <c r="E27" s="59">
        <f t="shared" ref="E27:I27" si="10">D27*(1+E17)</f>
        <v>14742</v>
      </c>
      <c r="F27" s="59">
        <f t="shared" si="10"/>
        <v>20638.8</v>
      </c>
      <c r="G27" s="59">
        <f t="shared" si="10"/>
        <v>28894.32</v>
      </c>
      <c r="H27" s="59">
        <f t="shared" si="10"/>
        <v>40452.048</v>
      </c>
      <c r="I27" s="59">
        <f t="shared" si="10"/>
        <v>56632.8672</v>
      </c>
    </row>
    <row r="28">
      <c r="A28" s="65"/>
      <c r="C28" s="48" t="s">
        <v>98</v>
      </c>
      <c r="D28" s="59">
        <f t="shared" ref="D28:I28" si="11">SUM(D25:D27)</f>
        <v>97720</v>
      </c>
      <c r="E28" s="59">
        <f t="shared" si="11"/>
        <v>122397</v>
      </c>
      <c r="F28" s="59">
        <f t="shared" si="11"/>
        <v>154365.3</v>
      </c>
      <c r="G28" s="59">
        <f t="shared" si="11"/>
        <v>196176.87</v>
      </c>
      <c r="H28" s="59">
        <f t="shared" si="11"/>
        <v>251407.233</v>
      </c>
      <c r="I28" s="59">
        <f t="shared" si="11"/>
        <v>325103.2767</v>
      </c>
    </row>
    <row r="29">
      <c r="A29" s="65"/>
      <c r="B29" s="65" t="s">
        <v>99</v>
      </c>
      <c r="C29" s="48" t="s">
        <v>100</v>
      </c>
      <c r="D29" s="59">
        <f>D28*(1-18%)</f>
        <v>80130.4</v>
      </c>
      <c r="E29" s="59">
        <f t="shared" ref="E29:I29" si="12">E28*(1-E18)</f>
        <v>79558.05</v>
      </c>
      <c r="F29" s="59">
        <f t="shared" si="12"/>
        <v>98793.792</v>
      </c>
      <c r="G29" s="59">
        <f t="shared" si="12"/>
        <v>123591.4281</v>
      </c>
      <c r="H29" s="59">
        <f t="shared" si="12"/>
        <v>155872.4845</v>
      </c>
      <c r="I29" s="59">
        <f t="shared" si="12"/>
        <v>198312.9988</v>
      </c>
    </row>
    <row r="30">
      <c r="A30" s="65"/>
      <c r="C30" s="48" t="s">
        <v>101</v>
      </c>
      <c r="D30" s="59">
        <f t="shared" ref="D30:I30" si="13">D28-D29</f>
        <v>17589.6</v>
      </c>
      <c r="E30" s="59">
        <f t="shared" si="13"/>
        <v>42838.95</v>
      </c>
      <c r="F30" s="59">
        <f t="shared" si="13"/>
        <v>55571.508</v>
      </c>
      <c r="G30" s="59">
        <f t="shared" si="13"/>
        <v>72585.4419</v>
      </c>
      <c r="H30" s="59">
        <f t="shared" si="13"/>
        <v>95534.74854</v>
      </c>
      <c r="I30" s="59">
        <f t="shared" si="13"/>
        <v>126790.2779</v>
      </c>
    </row>
    <row r="31">
      <c r="A31" s="65"/>
      <c r="C31" s="48" t="s">
        <v>102</v>
      </c>
      <c r="D31" s="59">
        <f>D28*11%</f>
        <v>10749.2</v>
      </c>
      <c r="E31" s="59">
        <f t="shared" ref="E31:I31" si="14">E28*E19</f>
        <v>9791.76</v>
      </c>
      <c r="F31" s="59">
        <f t="shared" si="14"/>
        <v>12349.224</v>
      </c>
      <c r="G31" s="59">
        <f t="shared" si="14"/>
        <v>15694.1496</v>
      </c>
      <c r="H31" s="59">
        <f t="shared" si="14"/>
        <v>20112.57864</v>
      </c>
      <c r="I31" s="59">
        <f t="shared" si="14"/>
        <v>26008.26214</v>
      </c>
    </row>
    <row r="32">
      <c r="A32" s="48"/>
      <c r="B32" s="48" t="s">
        <v>103</v>
      </c>
      <c r="C32" s="48" t="s">
        <v>104</v>
      </c>
      <c r="D32" s="59">
        <f t="shared" ref="D32:I32" si="15">D30-D31</f>
        <v>6840.4</v>
      </c>
      <c r="E32" s="59">
        <f t="shared" si="15"/>
        <v>33047.19</v>
      </c>
      <c r="F32" s="59">
        <f t="shared" si="15"/>
        <v>43222.284</v>
      </c>
      <c r="G32" s="59">
        <f t="shared" si="15"/>
        <v>56891.2923</v>
      </c>
      <c r="H32" s="59">
        <f t="shared" si="15"/>
        <v>75422.1699</v>
      </c>
      <c r="I32" s="59">
        <f t="shared" si="15"/>
        <v>100782.0158</v>
      </c>
    </row>
    <row r="33">
      <c r="A33" s="48"/>
      <c r="B33" s="48" t="s">
        <v>35</v>
      </c>
      <c r="C33" s="48" t="s">
        <v>35</v>
      </c>
      <c r="D33" s="48" t="s">
        <v>35</v>
      </c>
      <c r="E33" s="48" t="s">
        <v>35</v>
      </c>
      <c r="F33" s="48" t="s">
        <v>35</v>
      </c>
      <c r="G33" s="48" t="s">
        <v>35</v>
      </c>
      <c r="H33" s="48" t="s">
        <v>35</v>
      </c>
      <c r="I33" s="48"/>
    </row>
    <row r="34">
      <c r="A34" s="48"/>
      <c r="B34" s="48" t="s">
        <v>105</v>
      </c>
      <c r="C34" s="48" t="s">
        <v>35</v>
      </c>
      <c r="D34" s="48" t="s">
        <v>35</v>
      </c>
      <c r="E34" s="48" t="s">
        <v>35</v>
      </c>
      <c r="F34" s="48" t="s">
        <v>35</v>
      </c>
      <c r="G34" s="48" t="s">
        <v>35</v>
      </c>
      <c r="H34" s="48" t="s">
        <v>35</v>
      </c>
      <c r="I34" s="48"/>
    </row>
    <row r="35">
      <c r="A35" s="65"/>
      <c r="B35" s="65" t="s">
        <v>106</v>
      </c>
      <c r="C35" s="48" t="s">
        <v>104</v>
      </c>
      <c r="D35" s="59">
        <f t="shared" ref="D35:I35" si="16">D32</f>
        <v>6840.4</v>
      </c>
      <c r="E35" s="59">
        <f t="shared" si="16"/>
        <v>33047.19</v>
      </c>
      <c r="F35" s="59">
        <f t="shared" si="16"/>
        <v>43222.284</v>
      </c>
      <c r="G35" s="59">
        <f t="shared" si="16"/>
        <v>56891.2923</v>
      </c>
      <c r="H35" s="59">
        <f t="shared" si="16"/>
        <v>75422.1699</v>
      </c>
      <c r="I35" s="59">
        <f t="shared" si="16"/>
        <v>100782.0158</v>
      </c>
    </row>
    <row r="36">
      <c r="A36" s="65"/>
      <c r="C36" s="48" t="s">
        <v>107</v>
      </c>
      <c r="D36" s="59">
        <f t="shared" ref="D36:I36" si="17">D35*$E$20</f>
        <v>1436.484</v>
      </c>
      <c r="E36" s="59">
        <f t="shared" si="17"/>
        <v>6939.9099</v>
      </c>
      <c r="F36" s="59">
        <f t="shared" si="17"/>
        <v>9076.67964</v>
      </c>
      <c r="G36" s="59">
        <f t="shared" si="17"/>
        <v>11947.17138</v>
      </c>
      <c r="H36" s="59">
        <f t="shared" si="17"/>
        <v>15838.65568</v>
      </c>
      <c r="I36" s="59">
        <f t="shared" si="17"/>
        <v>21164.22331</v>
      </c>
    </row>
    <row r="37">
      <c r="A37" s="65"/>
      <c r="C37" s="48" t="s">
        <v>108</v>
      </c>
      <c r="D37" s="59">
        <f t="shared" ref="D37:I37" si="18">D35-D36</f>
        <v>5403.916</v>
      </c>
      <c r="E37" s="59">
        <f t="shared" si="18"/>
        <v>26107.2801</v>
      </c>
      <c r="F37" s="59">
        <f t="shared" si="18"/>
        <v>34145.60436</v>
      </c>
      <c r="G37" s="59">
        <f t="shared" si="18"/>
        <v>44944.12092</v>
      </c>
      <c r="H37" s="59">
        <f t="shared" si="18"/>
        <v>59583.51422</v>
      </c>
      <c r="I37" s="59">
        <f t="shared" si="18"/>
        <v>79617.79246</v>
      </c>
    </row>
    <row r="38">
      <c r="A38" s="65"/>
      <c r="C38" s="48" t="s">
        <v>109</v>
      </c>
      <c r="D38" s="59">
        <f t="shared" ref="D38:I38" si="19">D28*5%</f>
        <v>4886</v>
      </c>
      <c r="E38" s="59">
        <f t="shared" si="19"/>
        <v>6119.85</v>
      </c>
      <c r="F38" s="59">
        <f t="shared" si="19"/>
        <v>7718.265</v>
      </c>
      <c r="G38" s="59">
        <f t="shared" si="19"/>
        <v>9808.8435</v>
      </c>
      <c r="H38" s="59">
        <f t="shared" si="19"/>
        <v>12570.36165</v>
      </c>
      <c r="I38" s="59">
        <f t="shared" si="19"/>
        <v>16255.16384</v>
      </c>
    </row>
    <row r="39">
      <c r="A39" s="65"/>
      <c r="C39" s="48" t="s">
        <v>110</v>
      </c>
      <c r="D39" s="59">
        <f t="shared" ref="D39:I39" si="20">-D28*8%</f>
        <v>-7817.6</v>
      </c>
      <c r="E39" s="59">
        <f t="shared" si="20"/>
        <v>-9791.76</v>
      </c>
      <c r="F39" s="59">
        <f t="shared" si="20"/>
        <v>-12349.224</v>
      </c>
      <c r="G39" s="59">
        <f t="shared" si="20"/>
        <v>-15694.1496</v>
      </c>
      <c r="H39" s="59">
        <f t="shared" si="20"/>
        <v>-20112.57864</v>
      </c>
      <c r="I39" s="59">
        <f t="shared" si="20"/>
        <v>-26008.26214</v>
      </c>
    </row>
    <row r="40">
      <c r="A40" s="65"/>
      <c r="C40" s="48" t="s">
        <v>111</v>
      </c>
      <c r="D40" s="59">
        <f t="shared" ref="D40:I40" si="21">-D28*2%</f>
        <v>-1954.4</v>
      </c>
      <c r="E40" s="59">
        <f t="shared" si="21"/>
        <v>-2447.94</v>
      </c>
      <c r="F40" s="59">
        <f t="shared" si="21"/>
        <v>-3087.306</v>
      </c>
      <c r="G40" s="59">
        <f t="shared" si="21"/>
        <v>-3923.5374</v>
      </c>
      <c r="H40" s="59">
        <f t="shared" si="21"/>
        <v>-5028.14466</v>
      </c>
      <c r="I40" s="59">
        <f t="shared" si="21"/>
        <v>-6502.065534</v>
      </c>
    </row>
    <row r="41">
      <c r="A41" s="65"/>
      <c r="C41" s="67" t="s">
        <v>112</v>
      </c>
      <c r="D41" s="68">
        <f t="shared" ref="D41:I41" si="22">SUM(D37:D40)</f>
        <v>517.916</v>
      </c>
      <c r="E41" s="68">
        <f t="shared" si="22"/>
        <v>19987.4301</v>
      </c>
      <c r="F41" s="68">
        <f t="shared" si="22"/>
        <v>26427.33936</v>
      </c>
      <c r="G41" s="68">
        <f t="shared" si="22"/>
        <v>35135.27742</v>
      </c>
      <c r="H41" s="68">
        <f t="shared" si="22"/>
        <v>47013.15257</v>
      </c>
      <c r="I41" s="68">
        <f t="shared" si="22"/>
        <v>63362.62863</v>
      </c>
    </row>
    <row r="42">
      <c r="A42" s="65"/>
      <c r="B42" s="65" t="s">
        <v>113</v>
      </c>
      <c r="C42" s="48" t="s">
        <v>114</v>
      </c>
      <c r="D42" s="48" t="s">
        <v>35</v>
      </c>
      <c r="E42" s="48">
        <v>0.5</v>
      </c>
      <c r="F42" s="48">
        <v>1.5</v>
      </c>
      <c r="G42" s="48">
        <v>2.5</v>
      </c>
      <c r="H42" s="48">
        <v>3.5</v>
      </c>
      <c r="I42" s="48">
        <v>4.5</v>
      </c>
    </row>
    <row r="43">
      <c r="A43" s="65"/>
      <c r="C43" s="48" t="s">
        <v>115</v>
      </c>
      <c r="D43" s="48" t="s">
        <v>35</v>
      </c>
      <c r="E43" s="69">
        <f t="shared" ref="E43:I43" si="23">1/(1+$E$21)^E42</f>
        <v>0.9578262852</v>
      </c>
      <c r="F43" s="69">
        <f t="shared" si="23"/>
        <v>0.8787397112</v>
      </c>
      <c r="G43" s="69">
        <f t="shared" si="23"/>
        <v>0.8061832213</v>
      </c>
      <c r="H43" s="69">
        <f t="shared" si="23"/>
        <v>0.7396176342</v>
      </c>
      <c r="I43" s="69">
        <f t="shared" si="23"/>
        <v>0.6785482883</v>
      </c>
    </row>
    <row r="44">
      <c r="A44" s="65"/>
      <c r="C44" s="48" t="s">
        <v>116</v>
      </c>
      <c r="D44" s="48" t="s">
        <v>35</v>
      </c>
      <c r="E44" s="59">
        <f t="shared" ref="E44:I44" si="24">E41*E43</f>
        <v>19144.48592</v>
      </c>
      <c r="F44" s="59">
        <f t="shared" si="24"/>
        <v>23222.75256</v>
      </c>
      <c r="G44" s="59">
        <f t="shared" si="24"/>
        <v>28325.47113</v>
      </c>
      <c r="H44" s="59">
        <f t="shared" si="24"/>
        <v>34771.75668</v>
      </c>
      <c r="I44" s="59">
        <f t="shared" si="24"/>
        <v>42994.6032</v>
      </c>
    </row>
    <row r="45">
      <c r="A45" s="65"/>
      <c r="B45" s="65" t="s">
        <v>117</v>
      </c>
      <c r="C45" s="48" t="s">
        <v>118</v>
      </c>
      <c r="D45" s="59">
        <f>SUM(E44:I44)</f>
        <v>148459.0695</v>
      </c>
      <c r="E45" s="48" t="s">
        <v>35</v>
      </c>
      <c r="F45" s="48" t="s">
        <v>35</v>
      </c>
      <c r="G45" s="48" t="s">
        <v>35</v>
      </c>
      <c r="H45" s="48" t="s">
        <v>35</v>
      </c>
      <c r="I45" s="48"/>
    </row>
    <row r="46">
      <c r="A46" s="65"/>
      <c r="C46" s="48" t="s">
        <v>119</v>
      </c>
      <c r="D46" s="59">
        <f>(I41*(1+$E$22))/($E$21-$E$22)</f>
        <v>1663269.002</v>
      </c>
      <c r="E46" s="48" t="s">
        <v>35</v>
      </c>
      <c r="F46" s="48" t="s">
        <v>35</v>
      </c>
      <c r="G46" s="48" t="s">
        <v>35</v>
      </c>
      <c r="H46" s="48" t="s">
        <v>35</v>
      </c>
      <c r="I46" s="48"/>
    </row>
    <row r="47">
      <c r="A47" s="65"/>
      <c r="C47" s="48" t="s">
        <v>120</v>
      </c>
      <c r="D47" s="59">
        <f>D46*I43</f>
        <v>1128608.334</v>
      </c>
      <c r="E47" s="48" t="s">
        <v>35</v>
      </c>
      <c r="F47" s="48" t="s">
        <v>35</v>
      </c>
      <c r="G47" s="48" t="s">
        <v>35</v>
      </c>
      <c r="H47" s="48" t="s">
        <v>35</v>
      </c>
      <c r="I47" s="48"/>
    </row>
    <row r="48">
      <c r="A48" s="65"/>
      <c r="C48" s="48" t="s">
        <v>121</v>
      </c>
      <c r="D48" s="59">
        <f>D45+D47</f>
        <v>1277067.403</v>
      </c>
      <c r="E48" s="48" t="s">
        <v>35</v>
      </c>
      <c r="F48" s="48" t="s">
        <v>35</v>
      </c>
      <c r="G48" s="48" t="s">
        <v>35</v>
      </c>
      <c r="H48" s="48" t="s">
        <v>35</v>
      </c>
      <c r="I48" s="48"/>
    </row>
    <row r="49">
      <c r="A49" s="65"/>
      <c r="C49" s="48" t="s">
        <v>122</v>
      </c>
      <c r="D49" s="48">
        <v>-29000.0</v>
      </c>
      <c r="E49" s="48" t="s">
        <v>123</v>
      </c>
      <c r="F49" s="48" t="s">
        <v>35</v>
      </c>
      <c r="G49" s="48" t="s">
        <v>35</v>
      </c>
      <c r="H49" s="48" t="s">
        <v>35</v>
      </c>
      <c r="I49" s="48"/>
    </row>
    <row r="50">
      <c r="A50" s="65"/>
      <c r="C50" s="48" t="s">
        <v>124</v>
      </c>
      <c r="D50" s="59">
        <f>D48-D49</f>
        <v>1306067.403</v>
      </c>
      <c r="E50" s="48" t="s">
        <v>35</v>
      </c>
      <c r="F50" s="48" t="s">
        <v>35</v>
      </c>
      <c r="G50" s="48" t="s">
        <v>35</v>
      </c>
      <c r="H50" s="48" t="s">
        <v>35</v>
      </c>
      <c r="I50" s="48"/>
    </row>
    <row r="51">
      <c r="A51" s="65"/>
      <c r="C51" s="48" t="s">
        <v>125</v>
      </c>
      <c r="D51" s="48">
        <v>3180.0</v>
      </c>
      <c r="E51" s="48" t="s">
        <v>35</v>
      </c>
      <c r="F51" s="48" t="s">
        <v>35</v>
      </c>
      <c r="G51" s="48" t="s">
        <v>35</v>
      </c>
      <c r="H51" s="48" t="s">
        <v>35</v>
      </c>
      <c r="I51" s="48"/>
    </row>
    <row r="52">
      <c r="A52" s="48"/>
      <c r="B52" s="48" t="s">
        <v>126</v>
      </c>
      <c r="C52" s="67" t="s">
        <v>127</v>
      </c>
      <c r="D52" s="68">
        <f>D50/D51</f>
        <v>410.7130199</v>
      </c>
      <c r="E52" s="48" t="s">
        <v>35</v>
      </c>
      <c r="F52" s="48" t="s">
        <v>35</v>
      </c>
      <c r="G52" s="48" t="s">
        <v>35</v>
      </c>
      <c r="H52" s="48" t="s">
        <v>35</v>
      </c>
      <c r="I52" s="48"/>
    </row>
    <row r="53">
      <c r="A53" s="48"/>
      <c r="B53" s="48" t="s">
        <v>35</v>
      </c>
      <c r="C53" s="48" t="s">
        <v>35</v>
      </c>
      <c r="D53" s="48" t="s">
        <v>35</v>
      </c>
      <c r="E53" s="48" t="s">
        <v>35</v>
      </c>
      <c r="G53" s="48" t="s">
        <v>35</v>
      </c>
      <c r="H53" s="48" t="s">
        <v>35</v>
      </c>
      <c r="I53" s="48"/>
    </row>
    <row r="54">
      <c r="A54" s="48"/>
      <c r="B54" s="48" t="s">
        <v>128</v>
      </c>
      <c r="D54" s="48" t="s">
        <v>35</v>
      </c>
      <c r="E54" s="48" t="s">
        <v>35</v>
      </c>
      <c r="F54" s="48" t="s">
        <v>35</v>
      </c>
      <c r="G54" s="48" t="s">
        <v>35</v>
      </c>
      <c r="H54" s="48" t="s">
        <v>35</v>
      </c>
      <c r="I54" s="48"/>
    </row>
    <row r="55">
      <c r="A55" s="65"/>
      <c r="B55" s="65" t="s">
        <v>129</v>
      </c>
      <c r="C55" s="48" t="s">
        <v>130</v>
      </c>
      <c r="D55" s="52">
        <f>D52/(E37/D51)</f>
        <v>50.02694261</v>
      </c>
      <c r="E55" s="48" t="s">
        <v>131</v>
      </c>
      <c r="F55" s="48"/>
      <c r="H55" s="48" t="s">
        <v>35</v>
      </c>
      <c r="I55" s="48"/>
    </row>
    <row r="56">
      <c r="A56" s="65"/>
      <c r="C56" s="48" t="s">
        <v>132</v>
      </c>
      <c r="D56" s="52">
        <f>D52/(F37/D51)</f>
        <v>38.2499425</v>
      </c>
      <c r="E56" s="48" t="s">
        <v>131</v>
      </c>
      <c r="G56" s="48" t="s">
        <v>35</v>
      </c>
      <c r="I56" s="48" t="s">
        <v>35</v>
      </c>
    </row>
    <row r="57">
      <c r="A57" s="65"/>
      <c r="C57" s="48" t="s">
        <v>133</v>
      </c>
      <c r="D57" s="52">
        <f>D52/(G37/D51)</f>
        <v>29.0598053</v>
      </c>
      <c r="E57" s="48" t="s">
        <v>131</v>
      </c>
      <c r="G57" s="48" t="s">
        <v>35</v>
      </c>
      <c r="I57" s="48" t="s">
        <v>35</v>
      </c>
    </row>
    <row r="59">
      <c r="C59" s="48" t="s">
        <v>134</v>
      </c>
    </row>
    <row r="61">
      <c r="F61" s="48" t="s">
        <v>35</v>
      </c>
    </row>
  </sheetData>
  <mergeCells count="11">
    <mergeCell ref="B42:B44"/>
    <mergeCell ref="B45:B51"/>
    <mergeCell ref="B55:B57"/>
    <mergeCell ref="C59:E59"/>
    <mergeCell ref="B5:B7"/>
    <mergeCell ref="B8:B9"/>
    <mergeCell ref="B10:B11"/>
    <mergeCell ref="B15:B22"/>
    <mergeCell ref="B25:B28"/>
    <mergeCell ref="B29:B31"/>
    <mergeCell ref="B35:B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4.5"/>
    <col customWidth="1" min="3" max="3" width="18.75"/>
    <col customWidth="1" min="4" max="4" width="24.75"/>
    <col customWidth="1" min="5" max="5" width="22.0"/>
  </cols>
  <sheetData>
    <row r="1">
      <c r="A1" s="48" t="s">
        <v>56</v>
      </c>
      <c r="B1" s="48" t="s">
        <v>35</v>
      </c>
      <c r="C1" s="48" t="s">
        <v>35</v>
      </c>
      <c r="D1" s="48" t="s">
        <v>35</v>
      </c>
      <c r="E1" s="48" t="s">
        <v>35</v>
      </c>
      <c r="G1" s="48" t="s">
        <v>135</v>
      </c>
      <c r="H1" s="48">
        <v>1.0</v>
      </c>
    </row>
    <row r="2">
      <c r="A2" s="48" t="s">
        <v>58</v>
      </c>
      <c r="B2" s="48" t="s">
        <v>136</v>
      </c>
      <c r="C2" s="48" t="s">
        <v>35</v>
      </c>
      <c r="D2" s="48" t="s">
        <v>35</v>
      </c>
      <c r="E2" s="48" t="s">
        <v>35</v>
      </c>
      <c r="F2" s="48" t="s">
        <v>35</v>
      </c>
      <c r="G2" s="48" t="s">
        <v>35</v>
      </c>
      <c r="H2" s="48"/>
    </row>
    <row r="3">
      <c r="A3" s="48" t="s">
        <v>60</v>
      </c>
      <c r="B3" s="48" t="s">
        <v>61</v>
      </c>
      <c r="C3" s="48" t="s">
        <v>137</v>
      </c>
      <c r="D3" s="48" t="s">
        <v>63</v>
      </c>
      <c r="E3" s="48" t="s">
        <v>138</v>
      </c>
      <c r="F3" s="48" t="s">
        <v>35</v>
      </c>
      <c r="G3" s="48" t="s">
        <v>35</v>
      </c>
      <c r="H3" s="48"/>
    </row>
    <row r="4">
      <c r="A4" s="48" t="s">
        <v>66</v>
      </c>
      <c r="B4" s="48" t="s">
        <v>139</v>
      </c>
      <c r="C4" s="66">
        <v>-0.05</v>
      </c>
      <c r="D4" s="66">
        <v>0.02</v>
      </c>
      <c r="E4" s="66">
        <v>0.08</v>
      </c>
      <c r="F4" s="48" t="s">
        <v>35</v>
      </c>
      <c r="G4" s="48" t="s">
        <v>35</v>
      </c>
      <c r="H4" s="48"/>
    </row>
    <row r="5">
      <c r="A5" s="48" t="s">
        <v>35</v>
      </c>
      <c r="B5" s="48" t="s">
        <v>140</v>
      </c>
      <c r="C5" s="66">
        <v>0.0</v>
      </c>
      <c r="D5" s="66">
        <v>0.03</v>
      </c>
      <c r="E5" s="66">
        <v>0.05</v>
      </c>
      <c r="F5" s="48" t="s">
        <v>35</v>
      </c>
      <c r="G5" s="48" t="s">
        <v>35</v>
      </c>
      <c r="H5" s="48"/>
    </row>
    <row r="6">
      <c r="A6" s="48" t="s">
        <v>35</v>
      </c>
      <c r="B6" s="48" t="s">
        <v>141</v>
      </c>
      <c r="C6" s="66">
        <v>0.02</v>
      </c>
      <c r="D6" s="66">
        <v>0.1</v>
      </c>
      <c r="E6" s="66">
        <v>0.25</v>
      </c>
      <c r="F6" s="48" t="s">
        <v>35</v>
      </c>
      <c r="G6" s="48" t="s">
        <v>35</v>
      </c>
      <c r="H6" s="48"/>
    </row>
    <row r="7">
      <c r="A7" s="48" t="s">
        <v>71</v>
      </c>
      <c r="B7" s="48" t="s">
        <v>72</v>
      </c>
      <c r="C7" s="66">
        <v>0.55</v>
      </c>
      <c r="D7" s="66">
        <v>0.62</v>
      </c>
      <c r="E7" s="66">
        <v>0.68</v>
      </c>
      <c r="F7" s="48" t="s">
        <v>35</v>
      </c>
      <c r="G7" s="48" t="s">
        <v>35</v>
      </c>
      <c r="H7" s="48"/>
    </row>
    <row r="8">
      <c r="A8" s="48" t="s">
        <v>35</v>
      </c>
      <c r="B8" s="48" t="s">
        <v>142</v>
      </c>
      <c r="C8" s="66">
        <v>0.1</v>
      </c>
      <c r="D8" s="66">
        <v>0.08</v>
      </c>
      <c r="E8" s="66">
        <v>0.07</v>
      </c>
      <c r="F8" s="48" t="s">
        <v>35</v>
      </c>
      <c r="G8" s="48" t="s">
        <v>35</v>
      </c>
      <c r="H8" s="48"/>
    </row>
    <row r="9">
      <c r="A9" s="48" t="s">
        <v>74</v>
      </c>
      <c r="B9" s="48" t="s">
        <v>75</v>
      </c>
      <c r="C9" s="66">
        <v>0.11</v>
      </c>
      <c r="D9" s="66">
        <v>0.085</v>
      </c>
      <c r="E9" s="66">
        <v>0.075</v>
      </c>
      <c r="F9" s="48" t="s">
        <v>35</v>
      </c>
      <c r="G9" s="48" t="s">
        <v>35</v>
      </c>
      <c r="H9" s="48"/>
    </row>
    <row r="10">
      <c r="A10" s="48" t="s">
        <v>35</v>
      </c>
      <c r="B10" s="48" t="s">
        <v>76</v>
      </c>
      <c r="C10" s="66">
        <v>0.0</v>
      </c>
      <c r="D10" s="66">
        <v>0.015</v>
      </c>
      <c r="E10" s="66">
        <v>0.025</v>
      </c>
      <c r="F10" s="48" t="s">
        <v>35</v>
      </c>
      <c r="G10" s="48" t="s">
        <v>35</v>
      </c>
      <c r="H10" s="48"/>
    </row>
    <row r="11">
      <c r="A11" s="48" t="s">
        <v>35</v>
      </c>
      <c r="B11" s="48" t="s">
        <v>35</v>
      </c>
      <c r="C11" s="48" t="s">
        <v>35</v>
      </c>
      <c r="D11" s="48" t="s">
        <v>35</v>
      </c>
      <c r="E11" s="48" t="s">
        <v>35</v>
      </c>
      <c r="F11" s="48" t="s">
        <v>35</v>
      </c>
      <c r="G11" s="48" t="s">
        <v>35</v>
      </c>
      <c r="H11" s="48" t="s">
        <v>35</v>
      </c>
    </row>
    <row r="12">
      <c r="A12" s="48" t="s">
        <v>77</v>
      </c>
      <c r="B12" s="48" t="s">
        <v>35</v>
      </c>
      <c r="C12" s="48" t="s">
        <v>35</v>
      </c>
      <c r="D12" s="48" t="s">
        <v>35</v>
      </c>
      <c r="E12" s="48" t="s">
        <v>35</v>
      </c>
      <c r="F12" s="48" t="s">
        <v>35</v>
      </c>
      <c r="G12" s="48" t="s">
        <v>35</v>
      </c>
      <c r="H12" s="48"/>
    </row>
    <row r="13">
      <c r="A13" s="48" t="s">
        <v>60</v>
      </c>
      <c r="B13" s="48" t="s">
        <v>61</v>
      </c>
      <c r="C13" s="48" t="s">
        <v>143</v>
      </c>
      <c r="D13" s="48" t="s">
        <v>79</v>
      </c>
      <c r="E13" s="48" t="s">
        <v>80</v>
      </c>
      <c r="F13" s="48" t="s">
        <v>81</v>
      </c>
      <c r="G13" s="48" t="s">
        <v>82</v>
      </c>
      <c r="H13" s="48" t="s">
        <v>83</v>
      </c>
    </row>
    <row r="14">
      <c r="A14" s="48" t="s">
        <v>84</v>
      </c>
      <c r="B14" s="48" t="s">
        <v>144</v>
      </c>
      <c r="C14" s="48" t="s">
        <v>35</v>
      </c>
      <c r="D14" s="66">
        <f t="shared" ref="D14:D18" si="1">CHOOSE($H$1,C4,D4,E4)</f>
        <v>-0.05</v>
      </c>
      <c r="E14" s="66">
        <f t="shared" ref="E14:E16" si="2">CHOOSE($H$1,C4,D4,E4)</f>
        <v>-0.05</v>
      </c>
      <c r="F14" s="66">
        <f t="shared" ref="F14:F16" si="3">CHOOSE($H$1,C4,D4,E4)</f>
        <v>-0.05</v>
      </c>
      <c r="G14" s="66">
        <f t="shared" ref="G14:G16" si="4">CHOOSE($H$1,C4,D4,E4)</f>
        <v>-0.05</v>
      </c>
      <c r="H14" s="66">
        <f t="shared" ref="H14:H16" si="5">CHOOSE($H$1,C4,D4,E4)</f>
        <v>-0.05</v>
      </c>
    </row>
    <row r="15">
      <c r="A15" s="48" t="s">
        <v>145</v>
      </c>
      <c r="B15" s="48" t="s">
        <v>146</v>
      </c>
      <c r="C15" s="48" t="s">
        <v>35</v>
      </c>
      <c r="D15" s="66">
        <f t="shared" si="1"/>
        <v>0</v>
      </c>
      <c r="E15" s="66">
        <f t="shared" si="2"/>
        <v>0</v>
      </c>
      <c r="F15" s="66">
        <f t="shared" si="3"/>
        <v>0</v>
      </c>
      <c r="G15" s="66">
        <f t="shared" si="4"/>
        <v>0</v>
      </c>
      <c r="H15" s="66">
        <f t="shared" si="5"/>
        <v>0</v>
      </c>
    </row>
    <row r="16">
      <c r="A16" s="48" t="s">
        <v>35</v>
      </c>
      <c r="B16" s="48" t="s">
        <v>147</v>
      </c>
      <c r="C16" s="48" t="s">
        <v>35</v>
      </c>
      <c r="D16" s="66">
        <f t="shared" si="1"/>
        <v>0.02</v>
      </c>
      <c r="E16" s="66">
        <f t="shared" si="2"/>
        <v>0.02</v>
      </c>
      <c r="F16" s="66">
        <f t="shared" si="3"/>
        <v>0.02</v>
      </c>
      <c r="G16" s="66">
        <f t="shared" si="4"/>
        <v>0.02</v>
      </c>
      <c r="H16" s="66">
        <f t="shared" si="5"/>
        <v>0.02</v>
      </c>
    </row>
    <row r="17">
      <c r="A17" s="48" t="s">
        <v>35</v>
      </c>
      <c r="B17" s="48" t="s">
        <v>88</v>
      </c>
      <c r="C17" s="48" t="s">
        <v>35</v>
      </c>
      <c r="D17" s="66">
        <f t="shared" si="1"/>
        <v>0.55</v>
      </c>
      <c r="E17" s="66">
        <f t="shared" ref="E17:H17" si="6">D17</f>
        <v>0.55</v>
      </c>
      <c r="F17" s="66">
        <f t="shared" si="6"/>
        <v>0.55</v>
      </c>
      <c r="G17" s="66">
        <f t="shared" si="6"/>
        <v>0.55</v>
      </c>
      <c r="H17" s="66">
        <f t="shared" si="6"/>
        <v>0.55</v>
      </c>
    </row>
    <row r="18">
      <c r="A18" s="48" t="s">
        <v>35</v>
      </c>
      <c r="B18" s="48" t="s">
        <v>89</v>
      </c>
      <c r="C18" s="48" t="s">
        <v>35</v>
      </c>
      <c r="D18" s="66">
        <f t="shared" si="1"/>
        <v>0.1</v>
      </c>
      <c r="E18" s="66">
        <f>CHOOSE($H$1,C8,D8,E8)</f>
        <v>0.1</v>
      </c>
      <c r="F18" s="66">
        <f>CHOOSE($H$1,C8,D8,E8)</f>
        <v>0.1</v>
      </c>
      <c r="G18" s="66">
        <f>CHOOSE($H$1,C8,D8,E8)</f>
        <v>0.1</v>
      </c>
      <c r="H18" s="66">
        <f>CHOOSE($H$1,C8,D8,E8)</f>
        <v>0.1</v>
      </c>
    </row>
    <row r="19">
      <c r="A19" s="48" t="s">
        <v>35</v>
      </c>
      <c r="B19" s="48" t="s">
        <v>90</v>
      </c>
      <c r="C19" s="48" t="s">
        <v>35</v>
      </c>
      <c r="D19" s="66">
        <v>0.21</v>
      </c>
      <c r="E19" s="48" t="s">
        <v>35</v>
      </c>
      <c r="F19" s="48" t="s">
        <v>35</v>
      </c>
      <c r="G19" s="48" t="s">
        <v>35</v>
      </c>
      <c r="H19" s="48"/>
    </row>
    <row r="20">
      <c r="A20" s="48" t="s">
        <v>35</v>
      </c>
      <c r="B20" s="48" t="s">
        <v>91</v>
      </c>
      <c r="C20" s="48" t="s">
        <v>35</v>
      </c>
      <c r="D20" s="66">
        <f t="shared" ref="D20:D21" si="7">CHOOSE($H$1,C9,D9,E9)</f>
        <v>0.11</v>
      </c>
      <c r="E20" s="48" t="s">
        <v>35</v>
      </c>
      <c r="F20" s="48" t="s">
        <v>35</v>
      </c>
      <c r="G20" s="48" t="s">
        <v>35</v>
      </c>
      <c r="H20" s="48"/>
    </row>
    <row r="21">
      <c r="A21" s="48" t="s">
        <v>35</v>
      </c>
      <c r="B21" s="48" t="s">
        <v>92</v>
      </c>
      <c r="C21" s="48" t="s">
        <v>35</v>
      </c>
      <c r="D21" s="66">
        <f t="shared" si="7"/>
        <v>0</v>
      </c>
      <c r="E21" s="48" t="s">
        <v>35</v>
      </c>
      <c r="F21" s="48" t="s">
        <v>35</v>
      </c>
      <c r="G21" s="48" t="s">
        <v>35</v>
      </c>
      <c r="H21" s="48"/>
    </row>
    <row r="22">
      <c r="A22" s="48" t="s">
        <v>35</v>
      </c>
      <c r="B22" s="48" t="s">
        <v>35</v>
      </c>
      <c r="C22" s="48" t="s">
        <v>35</v>
      </c>
      <c r="D22" s="48" t="s">
        <v>35</v>
      </c>
      <c r="E22" s="48" t="s">
        <v>35</v>
      </c>
      <c r="F22" s="48" t="s">
        <v>35</v>
      </c>
      <c r="G22" s="48" t="s">
        <v>35</v>
      </c>
      <c r="H22" s="48"/>
    </row>
    <row r="23">
      <c r="A23" s="48" t="s">
        <v>93</v>
      </c>
      <c r="B23" s="48" t="s">
        <v>35</v>
      </c>
      <c r="C23" s="48" t="s">
        <v>35</v>
      </c>
      <c r="D23" s="48" t="s">
        <v>35</v>
      </c>
      <c r="E23" s="48" t="s">
        <v>35</v>
      </c>
      <c r="F23" s="48" t="s">
        <v>35</v>
      </c>
      <c r="G23" s="48" t="s">
        <v>35</v>
      </c>
      <c r="H23" s="48"/>
    </row>
    <row r="24">
      <c r="A24" s="48" t="s">
        <v>94</v>
      </c>
      <c r="B24" s="48" t="s">
        <v>148</v>
      </c>
      <c r="C24" s="59">
        <v>21500.0</v>
      </c>
      <c r="D24" s="59">
        <f t="shared" ref="D24:H24" si="8">C24*(1+D14)</f>
        <v>20425</v>
      </c>
      <c r="E24" s="59">
        <f t="shared" si="8"/>
        <v>19403.75</v>
      </c>
      <c r="F24" s="59">
        <f t="shared" si="8"/>
        <v>18433.5625</v>
      </c>
      <c r="G24" s="59">
        <f t="shared" si="8"/>
        <v>17511.88438</v>
      </c>
      <c r="H24" s="59">
        <f t="shared" si="8"/>
        <v>16636.29016</v>
      </c>
    </row>
    <row r="25">
      <c r="A25" s="48" t="s">
        <v>35</v>
      </c>
      <c r="B25" s="48" t="s">
        <v>140</v>
      </c>
      <c r="C25" s="59">
        <v>5300.0</v>
      </c>
      <c r="D25" s="59">
        <f t="shared" ref="D25:H25" si="9">C25*(1+D15)</f>
        <v>5300</v>
      </c>
      <c r="E25" s="59">
        <f t="shared" si="9"/>
        <v>5300</v>
      </c>
      <c r="F25" s="59">
        <f t="shared" si="9"/>
        <v>5300</v>
      </c>
      <c r="G25" s="59">
        <f t="shared" si="9"/>
        <v>5300</v>
      </c>
      <c r="H25" s="59">
        <f t="shared" si="9"/>
        <v>5300</v>
      </c>
    </row>
    <row r="26">
      <c r="A26" s="48" t="s">
        <v>35</v>
      </c>
      <c r="B26" s="48" t="s">
        <v>141</v>
      </c>
      <c r="C26" s="59">
        <v>1200.0</v>
      </c>
      <c r="D26" s="59">
        <f t="shared" ref="D26:H26" si="10">C26*(1+D16)</f>
        <v>1224</v>
      </c>
      <c r="E26" s="59">
        <f t="shared" si="10"/>
        <v>1248.48</v>
      </c>
      <c r="F26" s="59">
        <f t="shared" si="10"/>
        <v>1273.4496</v>
      </c>
      <c r="G26" s="59">
        <f t="shared" si="10"/>
        <v>1298.918592</v>
      </c>
      <c r="H26" s="59">
        <f t="shared" si="10"/>
        <v>1324.896964</v>
      </c>
    </row>
    <row r="27">
      <c r="A27" s="48" t="s">
        <v>35</v>
      </c>
      <c r="B27" s="48" t="s">
        <v>98</v>
      </c>
      <c r="C27" s="59">
        <f t="shared" ref="C27:H27" si="11">SUM(C24:C26)</f>
        <v>28000</v>
      </c>
      <c r="D27" s="59">
        <f t="shared" si="11"/>
        <v>26949</v>
      </c>
      <c r="E27" s="59">
        <f t="shared" si="11"/>
        <v>25952.23</v>
      </c>
      <c r="F27" s="59">
        <f t="shared" si="11"/>
        <v>25007.0121</v>
      </c>
      <c r="G27" s="59">
        <f t="shared" si="11"/>
        <v>24110.80297</v>
      </c>
      <c r="H27" s="59">
        <f t="shared" si="11"/>
        <v>23261.18712</v>
      </c>
    </row>
    <row r="28">
      <c r="A28" s="48" t="s">
        <v>99</v>
      </c>
      <c r="B28" s="48" t="s">
        <v>100</v>
      </c>
      <c r="C28" s="59">
        <f>C27*(1-58%)</f>
        <v>11760</v>
      </c>
      <c r="D28" s="59">
        <f t="shared" ref="D28:H28" si="12">D27*(1-D17)</f>
        <v>12127.05</v>
      </c>
      <c r="E28" s="59">
        <f t="shared" si="12"/>
        <v>11678.5035</v>
      </c>
      <c r="F28" s="59">
        <f t="shared" si="12"/>
        <v>11253.15545</v>
      </c>
      <c r="G28" s="59">
        <f t="shared" si="12"/>
        <v>10849.86134</v>
      </c>
      <c r="H28" s="59">
        <f t="shared" si="12"/>
        <v>10467.5342</v>
      </c>
    </row>
    <row r="29">
      <c r="A29" s="48" t="s">
        <v>35</v>
      </c>
      <c r="B29" s="48" t="s">
        <v>101</v>
      </c>
      <c r="C29" s="59">
        <f t="shared" ref="C29:H29" si="13">C27-C28</f>
        <v>16240</v>
      </c>
      <c r="D29" s="59">
        <f t="shared" si="13"/>
        <v>14821.95</v>
      </c>
      <c r="E29" s="59">
        <f t="shared" si="13"/>
        <v>14273.7265</v>
      </c>
      <c r="F29" s="59">
        <f t="shared" si="13"/>
        <v>13753.85666</v>
      </c>
      <c r="G29" s="59">
        <f t="shared" si="13"/>
        <v>13260.94163</v>
      </c>
      <c r="H29" s="59">
        <f t="shared" si="13"/>
        <v>12793.65292</v>
      </c>
    </row>
    <row r="30">
      <c r="A30" s="48" t="s">
        <v>35</v>
      </c>
      <c r="B30" s="48" t="s">
        <v>149</v>
      </c>
      <c r="C30" s="59">
        <f>C27*8%</f>
        <v>2240</v>
      </c>
      <c r="D30" s="59">
        <f t="shared" ref="D30:H30" si="14">D27*D18</f>
        <v>2694.9</v>
      </c>
      <c r="E30" s="59">
        <f t="shared" si="14"/>
        <v>2595.223</v>
      </c>
      <c r="F30" s="59">
        <f t="shared" si="14"/>
        <v>2500.70121</v>
      </c>
      <c r="G30" s="59">
        <f t="shared" si="14"/>
        <v>2411.080297</v>
      </c>
      <c r="H30" s="59">
        <f t="shared" si="14"/>
        <v>2326.118712</v>
      </c>
    </row>
    <row r="31">
      <c r="A31" s="48" t="s">
        <v>103</v>
      </c>
      <c r="B31" s="48" t="s">
        <v>104</v>
      </c>
      <c r="C31" s="59">
        <f t="shared" ref="C31:H31" si="15">C29-C30</f>
        <v>14000</v>
      </c>
      <c r="D31" s="59">
        <f t="shared" si="15"/>
        <v>12127.05</v>
      </c>
      <c r="E31" s="59">
        <f t="shared" si="15"/>
        <v>11678.5035</v>
      </c>
      <c r="F31" s="59">
        <f t="shared" si="15"/>
        <v>11253.15545</v>
      </c>
      <c r="G31" s="59">
        <f t="shared" si="15"/>
        <v>10849.86134</v>
      </c>
      <c r="H31" s="59">
        <f t="shared" si="15"/>
        <v>10467.5342</v>
      </c>
    </row>
    <row r="32">
      <c r="A32" s="48" t="s">
        <v>35</v>
      </c>
      <c r="B32" s="48" t="s">
        <v>35</v>
      </c>
      <c r="C32" s="48" t="s">
        <v>35</v>
      </c>
      <c r="D32" s="48" t="s">
        <v>35</v>
      </c>
      <c r="E32" s="48" t="s">
        <v>35</v>
      </c>
      <c r="F32" s="48" t="s">
        <v>35</v>
      </c>
      <c r="G32" s="48" t="s">
        <v>35</v>
      </c>
      <c r="H32" s="48"/>
    </row>
    <row r="33">
      <c r="A33" s="48" t="s">
        <v>105</v>
      </c>
      <c r="B33" s="48" t="s">
        <v>35</v>
      </c>
      <c r="C33" s="48" t="s">
        <v>35</v>
      </c>
      <c r="D33" s="48" t="s">
        <v>35</v>
      </c>
      <c r="E33" s="48" t="s">
        <v>35</v>
      </c>
      <c r="F33" s="48" t="s">
        <v>35</v>
      </c>
      <c r="G33" s="48" t="s">
        <v>35</v>
      </c>
      <c r="H33" s="48"/>
    </row>
    <row r="34">
      <c r="A34" s="48" t="s">
        <v>106</v>
      </c>
      <c r="B34" s="48" t="s">
        <v>104</v>
      </c>
      <c r="C34" s="59">
        <f t="shared" ref="C34:H34" si="16">C31</f>
        <v>14000</v>
      </c>
      <c r="D34" s="59">
        <f t="shared" si="16"/>
        <v>12127.05</v>
      </c>
      <c r="E34" s="59">
        <f t="shared" si="16"/>
        <v>11678.5035</v>
      </c>
      <c r="F34" s="59">
        <f t="shared" si="16"/>
        <v>11253.15545</v>
      </c>
      <c r="G34" s="59">
        <f t="shared" si="16"/>
        <v>10849.86134</v>
      </c>
      <c r="H34" s="59">
        <f t="shared" si="16"/>
        <v>10467.5342</v>
      </c>
    </row>
    <row r="35">
      <c r="A35" s="48" t="s">
        <v>35</v>
      </c>
      <c r="B35" s="48" t="s">
        <v>107</v>
      </c>
      <c r="C35" s="59">
        <f t="shared" ref="C35:H35" si="17">C34*$D$19</f>
        <v>2940</v>
      </c>
      <c r="D35" s="59">
        <f t="shared" si="17"/>
        <v>2546.6805</v>
      </c>
      <c r="E35" s="59">
        <f t="shared" si="17"/>
        <v>2452.485735</v>
      </c>
      <c r="F35" s="59">
        <f t="shared" si="17"/>
        <v>2363.162643</v>
      </c>
      <c r="G35" s="59">
        <f t="shared" si="17"/>
        <v>2278.47088</v>
      </c>
      <c r="H35" s="59">
        <f t="shared" si="17"/>
        <v>2198.182183</v>
      </c>
    </row>
    <row r="36">
      <c r="A36" s="48" t="s">
        <v>35</v>
      </c>
      <c r="B36" s="48" t="s">
        <v>108</v>
      </c>
      <c r="C36" s="59">
        <f t="shared" ref="C36:H36" si="18">C34-C35</f>
        <v>11060</v>
      </c>
      <c r="D36" s="59">
        <f t="shared" si="18"/>
        <v>9580.3695</v>
      </c>
      <c r="E36" s="59">
        <f t="shared" si="18"/>
        <v>9226.017765</v>
      </c>
      <c r="F36" s="59">
        <f t="shared" si="18"/>
        <v>8889.992802</v>
      </c>
      <c r="G36" s="59">
        <f t="shared" si="18"/>
        <v>8571.390455</v>
      </c>
      <c r="H36" s="59">
        <f t="shared" si="18"/>
        <v>8269.352021</v>
      </c>
    </row>
    <row r="37">
      <c r="A37" s="48" t="s">
        <v>35</v>
      </c>
      <c r="B37" s="48" t="s">
        <v>150</v>
      </c>
      <c r="C37" s="59">
        <f t="shared" ref="C37:H37" si="19">C27*12%</f>
        <v>3360</v>
      </c>
      <c r="D37" s="59">
        <f t="shared" si="19"/>
        <v>3233.88</v>
      </c>
      <c r="E37" s="59">
        <f t="shared" si="19"/>
        <v>3114.2676</v>
      </c>
      <c r="F37" s="59">
        <f t="shared" si="19"/>
        <v>3000.841452</v>
      </c>
      <c r="G37" s="59">
        <f t="shared" si="19"/>
        <v>2893.296356</v>
      </c>
      <c r="H37" s="59">
        <f t="shared" si="19"/>
        <v>2791.342454</v>
      </c>
    </row>
    <row r="38">
      <c r="A38" s="48" t="s">
        <v>35</v>
      </c>
      <c r="B38" s="48" t="s">
        <v>151</v>
      </c>
      <c r="C38" s="59">
        <f t="shared" ref="C38:H38" si="20">-C27*14%</f>
        <v>-3920</v>
      </c>
      <c r="D38" s="59">
        <f t="shared" si="20"/>
        <v>-3772.86</v>
      </c>
      <c r="E38" s="59">
        <f t="shared" si="20"/>
        <v>-3633.3122</v>
      </c>
      <c r="F38" s="59">
        <f t="shared" si="20"/>
        <v>-3500.981694</v>
      </c>
      <c r="G38" s="59">
        <f t="shared" si="20"/>
        <v>-3375.512415</v>
      </c>
      <c r="H38" s="59">
        <f t="shared" si="20"/>
        <v>-3256.566197</v>
      </c>
    </row>
    <row r="39">
      <c r="A39" s="48" t="s">
        <v>35</v>
      </c>
      <c r="B39" s="48" t="s">
        <v>111</v>
      </c>
      <c r="C39" s="59">
        <f t="shared" ref="C39:H39" si="21">-C27*1%</f>
        <v>-280</v>
      </c>
      <c r="D39" s="59">
        <f t="shared" si="21"/>
        <v>-269.49</v>
      </c>
      <c r="E39" s="59">
        <f t="shared" si="21"/>
        <v>-259.5223</v>
      </c>
      <c r="F39" s="59">
        <f t="shared" si="21"/>
        <v>-250.070121</v>
      </c>
      <c r="G39" s="59">
        <f t="shared" si="21"/>
        <v>-241.1080297</v>
      </c>
      <c r="H39" s="59">
        <f t="shared" si="21"/>
        <v>-232.6118712</v>
      </c>
    </row>
    <row r="40">
      <c r="A40" s="48" t="s">
        <v>35</v>
      </c>
      <c r="B40" s="48" t="s">
        <v>112</v>
      </c>
      <c r="C40" s="59">
        <f t="shared" ref="C40:H40" si="22">SUM(C36:C39)</f>
        <v>10220</v>
      </c>
      <c r="D40" s="59">
        <f t="shared" si="22"/>
        <v>8771.8995</v>
      </c>
      <c r="E40" s="59">
        <f t="shared" si="22"/>
        <v>8447.450865</v>
      </c>
      <c r="F40" s="59">
        <f t="shared" si="22"/>
        <v>8139.782439</v>
      </c>
      <c r="G40" s="59">
        <f t="shared" si="22"/>
        <v>7848.066366</v>
      </c>
      <c r="H40" s="59">
        <f t="shared" si="22"/>
        <v>7571.516408</v>
      </c>
    </row>
    <row r="41">
      <c r="A41" s="48" t="s">
        <v>113</v>
      </c>
      <c r="B41" s="48" t="s">
        <v>114</v>
      </c>
      <c r="C41" s="48" t="s">
        <v>35</v>
      </c>
      <c r="D41" s="48">
        <v>0.5</v>
      </c>
      <c r="E41" s="48">
        <v>1.5</v>
      </c>
      <c r="F41" s="48">
        <v>2.5</v>
      </c>
      <c r="G41" s="48">
        <v>3.5</v>
      </c>
      <c r="H41" s="48">
        <v>4.5</v>
      </c>
    </row>
    <row r="42">
      <c r="A42" s="48" t="s">
        <v>35</v>
      </c>
      <c r="B42" s="48" t="s">
        <v>115</v>
      </c>
      <c r="C42" s="48" t="s">
        <v>35</v>
      </c>
      <c r="D42" s="69">
        <f t="shared" ref="D42:H42" si="23">1/(1+$D$20)^D41</f>
        <v>0.9491579958</v>
      </c>
      <c r="E42" s="69">
        <f t="shared" si="23"/>
        <v>0.8550972935</v>
      </c>
      <c r="F42" s="69">
        <f t="shared" si="23"/>
        <v>0.770357922</v>
      </c>
      <c r="G42" s="69">
        <f t="shared" si="23"/>
        <v>0.694016146</v>
      </c>
      <c r="H42" s="69">
        <f t="shared" si="23"/>
        <v>0.6252397712</v>
      </c>
    </row>
    <row r="43">
      <c r="A43" s="48" t="s">
        <v>35</v>
      </c>
      <c r="B43" s="48" t="s">
        <v>116</v>
      </c>
      <c r="C43" s="48" t="s">
        <v>35</v>
      </c>
      <c r="D43" s="59">
        <f t="shared" ref="D43:H43" si="24">D40*D42</f>
        <v>8325.918548</v>
      </c>
      <c r="E43" s="59">
        <f t="shared" si="24"/>
        <v>7223.392371</v>
      </c>
      <c r="F43" s="59">
        <f t="shared" si="24"/>
        <v>6270.545885</v>
      </c>
      <c r="G43" s="59">
        <f t="shared" si="24"/>
        <v>5446.684773</v>
      </c>
      <c r="H43" s="59">
        <f t="shared" si="24"/>
        <v>4734.013186</v>
      </c>
    </row>
    <row r="44">
      <c r="A44" s="48" t="s">
        <v>117</v>
      </c>
      <c r="B44" s="48" t="s">
        <v>118</v>
      </c>
      <c r="C44" s="59">
        <f>SUM(D43:H43)</f>
        <v>32000.55476</v>
      </c>
      <c r="D44" s="48" t="s">
        <v>35</v>
      </c>
      <c r="E44" s="48" t="s">
        <v>35</v>
      </c>
      <c r="F44" s="48" t="s">
        <v>35</v>
      </c>
      <c r="G44" s="48" t="s">
        <v>35</v>
      </c>
      <c r="H44" s="48"/>
    </row>
    <row r="45">
      <c r="A45" s="48" t="s">
        <v>35</v>
      </c>
      <c r="B45" s="48" t="s">
        <v>119</v>
      </c>
      <c r="C45" s="59">
        <f>(H40*(1+$D$21))/($D$20-$D$21)</f>
        <v>68831.96734</v>
      </c>
      <c r="D45" s="48" t="s">
        <v>35</v>
      </c>
      <c r="E45" s="48" t="s">
        <v>35</v>
      </c>
      <c r="F45" s="48" t="s">
        <v>35</v>
      </c>
      <c r="G45" s="48" t="s">
        <v>35</v>
      </c>
      <c r="H45" s="48"/>
    </row>
    <row r="46">
      <c r="A46" s="48" t="s">
        <v>35</v>
      </c>
      <c r="B46" s="48" t="s">
        <v>120</v>
      </c>
      <c r="C46" s="59">
        <f>C45*H42</f>
        <v>43036.48351</v>
      </c>
      <c r="D46" s="48" t="s">
        <v>35</v>
      </c>
      <c r="E46" s="48" t="s">
        <v>35</v>
      </c>
      <c r="F46" s="48" t="s">
        <v>35</v>
      </c>
      <c r="G46" s="48" t="s">
        <v>35</v>
      </c>
      <c r="H46" s="48"/>
    </row>
    <row r="47">
      <c r="A47" s="48" t="s">
        <v>35</v>
      </c>
      <c r="B47" s="48" t="s">
        <v>121</v>
      </c>
      <c r="C47" s="59">
        <f>C44+C46</f>
        <v>75037.03827</v>
      </c>
      <c r="D47" s="48" t="s">
        <v>35</v>
      </c>
      <c r="E47" s="48" t="s">
        <v>35</v>
      </c>
      <c r="F47" s="48" t="s">
        <v>35</v>
      </c>
      <c r="G47" s="48" t="s">
        <v>35</v>
      </c>
      <c r="H47" s="48"/>
    </row>
    <row r="48">
      <c r="A48" s="48" t="s">
        <v>35</v>
      </c>
      <c r="B48" s="48" t="s">
        <v>122</v>
      </c>
      <c r="C48" s="48">
        <v>28000.0</v>
      </c>
      <c r="D48" s="48" t="s">
        <v>152</v>
      </c>
      <c r="E48" s="48" t="s">
        <v>35</v>
      </c>
      <c r="F48" s="48" t="s">
        <v>35</v>
      </c>
      <c r="G48" s="48" t="s">
        <v>35</v>
      </c>
      <c r="H48" s="48"/>
    </row>
    <row r="49">
      <c r="A49" s="48" t="s">
        <v>35</v>
      </c>
      <c r="B49" s="48" t="s">
        <v>124</v>
      </c>
      <c r="C49" s="59">
        <f>C47-C48</f>
        <v>47037.03827</v>
      </c>
      <c r="D49" s="48" t="s">
        <v>35</v>
      </c>
      <c r="E49" s="48" t="s">
        <v>35</v>
      </c>
      <c r="F49" s="48" t="s">
        <v>35</v>
      </c>
      <c r="G49" s="48" t="s">
        <v>35</v>
      </c>
      <c r="H49" s="48"/>
    </row>
    <row r="50">
      <c r="A50" s="48" t="s">
        <v>35</v>
      </c>
      <c r="B50" s="48" t="s">
        <v>125</v>
      </c>
      <c r="C50" s="48">
        <v>950.0</v>
      </c>
      <c r="D50" s="48" t="s">
        <v>153</v>
      </c>
      <c r="E50" s="48" t="s">
        <v>35</v>
      </c>
      <c r="F50" s="48" t="s">
        <v>35</v>
      </c>
      <c r="G50" s="48" t="s">
        <v>35</v>
      </c>
      <c r="H50" s="48"/>
    </row>
    <row r="51">
      <c r="A51" s="48" t="s">
        <v>126</v>
      </c>
      <c r="B51" s="67" t="s">
        <v>127</v>
      </c>
      <c r="C51" s="68">
        <f>C49/C50</f>
        <v>49.51267187</v>
      </c>
      <c r="D51" s="48" t="s">
        <v>35</v>
      </c>
      <c r="E51" s="48" t="s">
        <v>35</v>
      </c>
      <c r="F51" s="48" t="s">
        <v>35</v>
      </c>
      <c r="G51" s="48" t="s">
        <v>35</v>
      </c>
      <c r="H51" s="48"/>
    </row>
    <row r="52">
      <c r="A52" s="48" t="s">
        <v>35</v>
      </c>
      <c r="B52" s="48" t="s">
        <v>35</v>
      </c>
      <c r="C52" s="48" t="s">
        <v>35</v>
      </c>
      <c r="D52" s="48" t="s">
        <v>35</v>
      </c>
      <c r="E52" s="48" t="s">
        <v>35</v>
      </c>
      <c r="F52" s="48" t="s">
        <v>35</v>
      </c>
      <c r="G52" s="48" t="s">
        <v>35</v>
      </c>
      <c r="H52" s="48"/>
    </row>
    <row r="53">
      <c r="A53" s="48" t="s">
        <v>128</v>
      </c>
      <c r="B53" s="48" t="s">
        <v>154</v>
      </c>
      <c r="C53" s="48" t="s">
        <v>35</v>
      </c>
      <c r="D53" s="48" t="s">
        <v>35</v>
      </c>
      <c r="E53" s="48" t="s">
        <v>35</v>
      </c>
      <c r="F53" s="48" t="s">
        <v>35</v>
      </c>
      <c r="G53" s="48" t="s">
        <v>35</v>
      </c>
      <c r="H53" s="48"/>
    </row>
    <row r="54">
      <c r="A54" s="48" t="s">
        <v>129</v>
      </c>
      <c r="B54" s="48" t="s">
        <v>130</v>
      </c>
      <c r="C54" s="70">
        <f>C51/(D36/C50)</f>
        <v>4.90973112</v>
      </c>
      <c r="D54" s="48" t="s">
        <v>131</v>
      </c>
      <c r="E54" s="48" t="s">
        <v>155</v>
      </c>
      <c r="F54" s="48" t="s">
        <v>156</v>
      </c>
      <c r="G54" s="48" t="s">
        <v>35</v>
      </c>
      <c r="H54" s="48"/>
    </row>
    <row r="55">
      <c r="A55" s="48" t="s">
        <v>35</v>
      </c>
      <c r="B55" s="48" t="s">
        <v>132</v>
      </c>
      <c r="C55" s="70">
        <f>C51/(E36/C50)</f>
        <v>5.098303458</v>
      </c>
      <c r="D55" s="48" t="s">
        <v>131</v>
      </c>
      <c r="E55" s="48" t="s">
        <v>35</v>
      </c>
      <c r="F55" s="48" t="s">
        <v>157</v>
      </c>
      <c r="H55" s="48" t="s">
        <v>35</v>
      </c>
    </row>
    <row r="56">
      <c r="A56" s="48" t="s">
        <v>35</v>
      </c>
      <c r="B56" s="48" t="s">
        <v>133</v>
      </c>
      <c r="C56" s="70">
        <f>C51/(F36/C50)</f>
        <v>5.291009714</v>
      </c>
      <c r="D56" s="48" t="s">
        <v>131</v>
      </c>
      <c r="E56" s="48" t="s">
        <v>35</v>
      </c>
      <c r="F56" s="48" t="s">
        <v>158</v>
      </c>
      <c r="H56" s="48" t="s">
        <v>35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8.5"/>
  </cols>
  <sheetData>
    <row r="1">
      <c r="A1" s="48" t="s">
        <v>159</v>
      </c>
      <c r="B1" s="48" t="s">
        <v>35</v>
      </c>
      <c r="C1" s="48" t="s">
        <v>35</v>
      </c>
      <c r="D1" s="48" t="s">
        <v>35</v>
      </c>
      <c r="E1" s="48" t="s">
        <v>35</v>
      </c>
      <c r="F1" s="48" t="s">
        <v>35</v>
      </c>
      <c r="G1" s="48" t="s">
        <v>35</v>
      </c>
      <c r="H1" s="48" t="s">
        <v>35</v>
      </c>
      <c r="I1" s="48" t="s">
        <v>160</v>
      </c>
      <c r="J1" s="48"/>
    </row>
    <row r="2">
      <c r="A2" s="48" t="s">
        <v>60</v>
      </c>
      <c r="B2" s="48" t="s">
        <v>161</v>
      </c>
      <c r="C2" s="48" t="s">
        <v>162</v>
      </c>
      <c r="D2" s="48" t="s">
        <v>163</v>
      </c>
      <c r="E2" s="48" t="s">
        <v>164</v>
      </c>
      <c r="F2" s="48" t="s">
        <v>165</v>
      </c>
      <c r="G2" s="48" t="s">
        <v>166</v>
      </c>
      <c r="H2" s="48" t="s">
        <v>35</v>
      </c>
      <c r="I2" s="48" t="s">
        <v>167</v>
      </c>
      <c r="J2" s="48"/>
    </row>
    <row r="3">
      <c r="A3" s="48" t="s">
        <v>168</v>
      </c>
      <c r="B3" s="48" t="s">
        <v>169</v>
      </c>
      <c r="C3" s="48">
        <v>1.0</v>
      </c>
      <c r="D3" s="48" t="s">
        <v>35</v>
      </c>
      <c r="E3" s="48" t="s">
        <v>35</v>
      </c>
      <c r="F3" s="48" t="s">
        <v>35</v>
      </c>
      <c r="G3" s="48" t="s">
        <v>170</v>
      </c>
      <c r="H3" s="48" t="s">
        <v>35</v>
      </c>
      <c r="I3" s="48" t="s">
        <v>171</v>
      </c>
      <c r="J3" s="48"/>
    </row>
    <row r="4">
      <c r="A4" s="48" t="s">
        <v>172</v>
      </c>
      <c r="B4" s="48" t="s">
        <v>173</v>
      </c>
      <c r="C4" s="66">
        <f t="shared" ref="C4:C6" si="1">CHOOSE($C$3,D4,E4,F4)</f>
        <v>0.08</v>
      </c>
      <c r="D4" s="66">
        <v>0.08</v>
      </c>
      <c r="E4" s="66">
        <v>0.15</v>
      </c>
      <c r="F4" s="66">
        <v>0.22</v>
      </c>
      <c r="G4" s="48" t="s">
        <v>35</v>
      </c>
      <c r="H4" s="48" t="s">
        <v>35</v>
      </c>
      <c r="I4" s="48" t="s">
        <v>174</v>
      </c>
      <c r="J4" s="48"/>
    </row>
    <row r="5">
      <c r="A5" s="48" t="s">
        <v>175</v>
      </c>
      <c r="B5" s="48" t="s">
        <v>173</v>
      </c>
      <c r="C5" s="66">
        <f t="shared" si="1"/>
        <v>0</v>
      </c>
      <c r="D5" s="66">
        <v>0.0</v>
      </c>
      <c r="E5" s="66">
        <v>0.05</v>
      </c>
      <c r="F5" s="66">
        <v>0.15</v>
      </c>
      <c r="G5" s="48" t="s">
        <v>176</v>
      </c>
      <c r="H5" s="48" t="s">
        <v>35</v>
      </c>
      <c r="I5" s="48" t="s">
        <v>177</v>
      </c>
      <c r="J5" s="48"/>
    </row>
    <row r="6">
      <c r="A6" s="48" t="s">
        <v>178</v>
      </c>
      <c r="B6" s="48" t="s">
        <v>173</v>
      </c>
      <c r="C6" s="66">
        <f t="shared" si="1"/>
        <v>0.05</v>
      </c>
      <c r="D6" s="66">
        <v>0.05</v>
      </c>
      <c r="E6" s="66">
        <v>0.1</v>
      </c>
      <c r="F6" s="66">
        <v>0.15</v>
      </c>
      <c r="G6" s="48" t="s">
        <v>35</v>
      </c>
      <c r="H6" s="48" t="s">
        <v>35</v>
      </c>
      <c r="I6" s="48" t="s">
        <v>179</v>
      </c>
      <c r="J6" s="48"/>
    </row>
    <row r="7">
      <c r="A7" s="48" t="s">
        <v>35</v>
      </c>
      <c r="B7" s="48" t="s">
        <v>35</v>
      </c>
      <c r="C7" s="48" t="s">
        <v>35</v>
      </c>
      <c r="D7" s="48" t="s">
        <v>35</v>
      </c>
      <c r="E7" s="48" t="s">
        <v>35</v>
      </c>
      <c r="F7" s="48" t="s">
        <v>35</v>
      </c>
      <c r="G7" s="48" t="s">
        <v>35</v>
      </c>
      <c r="H7" s="48" t="s">
        <v>35</v>
      </c>
      <c r="I7" s="48" t="s">
        <v>35</v>
      </c>
      <c r="J7" s="48" t="s">
        <v>180</v>
      </c>
    </row>
    <row r="8">
      <c r="A8" s="48" t="s">
        <v>35</v>
      </c>
      <c r="B8" s="48" t="s">
        <v>35</v>
      </c>
      <c r="C8" s="48" t="s">
        <v>35</v>
      </c>
      <c r="D8" s="48" t="s">
        <v>35</v>
      </c>
      <c r="E8" s="48" t="s">
        <v>35</v>
      </c>
      <c r="F8" s="48" t="s">
        <v>35</v>
      </c>
      <c r="G8" s="48" t="s">
        <v>35</v>
      </c>
      <c r="H8" s="48" t="s">
        <v>35</v>
      </c>
      <c r="I8" s="48" t="s">
        <v>35</v>
      </c>
      <c r="J8" s="48" t="s">
        <v>181</v>
      </c>
    </row>
    <row r="9">
      <c r="A9" s="48" t="s">
        <v>182</v>
      </c>
      <c r="B9" s="48" t="s">
        <v>35</v>
      </c>
      <c r="C9" s="48" t="s">
        <v>35</v>
      </c>
      <c r="D9" s="48" t="s">
        <v>35</v>
      </c>
      <c r="E9" s="48" t="s">
        <v>35</v>
      </c>
      <c r="F9" s="48" t="s">
        <v>35</v>
      </c>
      <c r="G9" s="48" t="s">
        <v>35</v>
      </c>
      <c r="H9" s="48" t="s">
        <v>35</v>
      </c>
      <c r="I9" s="48" t="s">
        <v>183</v>
      </c>
      <c r="J9" s="48"/>
    </row>
    <row r="10">
      <c r="A10" s="48" t="s">
        <v>60</v>
      </c>
      <c r="B10" s="48" t="s">
        <v>184</v>
      </c>
      <c r="C10" s="48" t="s">
        <v>185</v>
      </c>
      <c r="D10" s="48" t="s">
        <v>186</v>
      </c>
      <c r="E10" s="48" t="s">
        <v>187</v>
      </c>
      <c r="F10" s="48" t="s">
        <v>81</v>
      </c>
      <c r="G10" s="48" t="s">
        <v>82</v>
      </c>
      <c r="H10" s="48" t="s">
        <v>83</v>
      </c>
      <c r="I10" s="48" t="s">
        <v>188</v>
      </c>
      <c r="J10" s="48" t="s">
        <v>189</v>
      </c>
    </row>
    <row r="11">
      <c r="A11" s="48" t="s">
        <v>190</v>
      </c>
      <c r="B11" s="48" t="s">
        <v>191</v>
      </c>
      <c r="C11" s="66">
        <f>$C$4</f>
        <v>0.08</v>
      </c>
      <c r="D11" s="52">
        <v>3800.0</v>
      </c>
      <c r="E11" s="52">
        <f t="shared" ref="E11:I11" si="2">D11*(1+$C11)</f>
        <v>4104</v>
      </c>
      <c r="F11" s="52">
        <f t="shared" si="2"/>
        <v>4432.32</v>
      </c>
      <c r="G11" s="52">
        <f t="shared" si="2"/>
        <v>4786.9056</v>
      </c>
      <c r="H11" s="52">
        <f t="shared" si="2"/>
        <v>5169.858048</v>
      </c>
      <c r="I11" s="52">
        <f t="shared" si="2"/>
        <v>5583.446692</v>
      </c>
      <c r="J11" s="48" t="s">
        <v>192</v>
      </c>
    </row>
    <row r="12">
      <c r="A12" s="48" t="s">
        <v>193</v>
      </c>
      <c r="B12" s="48" t="s">
        <v>194</v>
      </c>
      <c r="C12" s="66">
        <f>$C$5</f>
        <v>0</v>
      </c>
      <c r="D12" s="52">
        <v>1500.0</v>
      </c>
      <c r="E12" s="52">
        <f t="shared" ref="E12:I12" si="3">D12*(1+$C12)</f>
        <v>1500</v>
      </c>
      <c r="F12" s="52">
        <f t="shared" si="3"/>
        <v>1500</v>
      </c>
      <c r="G12" s="52">
        <f t="shared" si="3"/>
        <v>1500</v>
      </c>
      <c r="H12" s="52">
        <f t="shared" si="3"/>
        <v>1500</v>
      </c>
      <c r="I12" s="52">
        <f t="shared" si="3"/>
        <v>1500</v>
      </c>
      <c r="J12" s="48" t="s">
        <v>195</v>
      </c>
    </row>
    <row r="13">
      <c r="A13" s="48" t="s">
        <v>196</v>
      </c>
      <c r="B13" s="48" t="s">
        <v>197</v>
      </c>
      <c r="C13" s="66">
        <f>$C$6</f>
        <v>0.05</v>
      </c>
      <c r="D13" s="52">
        <v>1150.0</v>
      </c>
      <c r="E13" s="52">
        <f t="shared" ref="E13:I13" si="4">D13*(1+$C13)</f>
        <v>1207.5</v>
      </c>
      <c r="F13" s="52">
        <f t="shared" si="4"/>
        <v>1267.875</v>
      </c>
      <c r="G13" s="52">
        <f t="shared" si="4"/>
        <v>1331.26875</v>
      </c>
      <c r="H13" s="52">
        <f t="shared" si="4"/>
        <v>1397.832188</v>
      </c>
      <c r="I13" s="52">
        <f t="shared" si="4"/>
        <v>1467.723797</v>
      </c>
      <c r="J13" s="48" t="s">
        <v>198</v>
      </c>
    </row>
    <row r="14">
      <c r="A14" s="48" t="s">
        <v>199</v>
      </c>
      <c r="B14" s="48" t="s">
        <v>200</v>
      </c>
      <c r="C14" s="48" t="s">
        <v>18</v>
      </c>
      <c r="D14" s="66">
        <v>0.22</v>
      </c>
      <c r="E14" s="48" t="s">
        <v>201</v>
      </c>
      <c r="F14" s="48" t="s">
        <v>35</v>
      </c>
      <c r="G14" s="48" t="s">
        <v>35</v>
      </c>
      <c r="H14" s="48" t="s">
        <v>35</v>
      </c>
      <c r="I14" s="48" t="s">
        <v>202</v>
      </c>
      <c r="J14" s="48"/>
    </row>
    <row r="15">
      <c r="A15" s="48" t="s">
        <v>35</v>
      </c>
      <c r="B15" s="48" t="s">
        <v>35</v>
      </c>
      <c r="C15" s="48" t="s">
        <v>35</v>
      </c>
      <c r="D15" s="48" t="s">
        <v>35</v>
      </c>
      <c r="E15" s="48" t="s">
        <v>35</v>
      </c>
      <c r="F15" s="48" t="s">
        <v>35</v>
      </c>
      <c r="G15" s="48" t="s">
        <v>35</v>
      </c>
      <c r="H15" s="48" t="s">
        <v>35</v>
      </c>
      <c r="I15" s="48" t="s">
        <v>35</v>
      </c>
      <c r="J15" s="48" t="s">
        <v>203</v>
      </c>
    </row>
    <row r="16">
      <c r="A16" s="48" t="s">
        <v>35</v>
      </c>
      <c r="B16" s="48" t="s">
        <v>35</v>
      </c>
      <c r="C16" s="48" t="s">
        <v>35</v>
      </c>
      <c r="D16" s="48" t="s">
        <v>35</v>
      </c>
      <c r="E16" s="48" t="s">
        <v>35</v>
      </c>
      <c r="F16" s="48" t="s">
        <v>35</v>
      </c>
      <c r="G16" s="48" t="s">
        <v>35</v>
      </c>
      <c r="H16" s="48" t="s">
        <v>35</v>
      </c>
      <c r="I16" s="48" t="s">
        <v>35</v>
      </c>
      <c r="J16" s="48" t="s">
        <v>204</v>
      </c>
    </row>
    <row r="17">
      <c r="A17" s="48" t="s">
        <v>205</v>
      </c>
      <c r="B17" s="48" t="s">
        <v>35</v>
      </c>
      <c r="C17" s="48" t="s">
        <v>35</v>
      </c>
      <c r="D17" s="48" t="s">
        <v>35</v>
      </c>
      <c r="E17" s="48" t="s">
        <v>35</v>
      </c>
      <c r="F17" s="48" t="s">
        <v>35</v>
      </c>
      <c r="G17" s="48" t="s">
        <v>35</v>
      </c>
      <c r="H17" s="48" t="s">
        <v>35</v>
      </c>
      <c r="I17" s="48" t="s">
        <v>206</v>
      </c>
      <c r="J17" s="48"/>
    </row>
    <row r="18">
      <c r="A18" s="48" t="s">
        <v>60</v>
      </c>
      <c r="B18" s="48" t="s">
        <v>161</v>
      </c>
      <c r="C18" s="48" t="s">
        <v>207</v>
      </c>
      <c r="D18" s="48" t="s">
        <v>208</v>
      </c>
      <c r="E18" s="48" t="s">
        <v>35</v>
      </c>
      <c r="F18" s="48" t="s">
        <v>35</v>
      </c>
      <c r="G18" s="48" t="s">
        <v>35</v>
      </c>
      <c r="H18" s="48" t="s">
        <v>35</v>
      </c>
      <c r="I18" s="48" t="s">
        <v>209</v>
      </c>
      <c r="J18" s="48"/>
    </row>
    <row r="19">
      <c r="A19" s="48" t="s">
        <v>210</v>
      </c>
      <c r="B19" s="48" t="s">
        <v>211</v>
      </c>
      <c r="C19" s="48">
        <v>910.0</v>
      </c>
      <c r="D19" s="48" t="s">
        <v>212</v>
      </c>
      <c r="E19" s="48" t="s">
        <v>35</v>
      </c>
      <c r="F19" s="48" t="s">
        <v>35</v>
      </c>
      <c r="G19" s="48" t="s">
        <v>35</v>
      </c>
      <c r="H19" s="48" t="s">
        <v>35</v>
      </c>
      <c r="I19" s="48" t="s">
        <v>213</v>
      </c>
      <c r="J19" s="48"/>
    </row>
    <row r="20">
      <c r="A20" s="48" t="s">
        <v>214</v>
      </c>
      <c r="B20" s="48" t="s">
        <v>215</v>
      </c>
      <c r="C20" s="66">
        <v>0.22</v>
      </c>
      <c r="D20" s="48" t="s">
        <v>216</v>
      </c>
      <c r="E20" s="48" t="s">
        <v>35</v>
      </c>
      <c r="F20" s="48" t="s">
        <v>35</v>
      </c>
      <c r="G20" s="48" t="s">
        <v>35</v>
      </c>
      <c r="H20" s="48" t="s">
        <v>35</v>
      </c>
      <c r="I20" s="48" t="s">
        <v>217</v>
      </c>
      <c r="J20" s="48"/>
    </row>
    <row r="21">
      <c r="A21" s="48" t="s">
        <v>218</v>
      </c>
      <c r="B21" s="48" t="s">
        <v>219</v>
      </c>
      <c r="C21" s="48">
        <v>0.0</v>
      </c>
      <c r="D21" s="48" t="s">
        <v>220</v>
      </c>
      <c r="E21" s="48" t="s">
        <v>35</v>
      </c>
      <c r="F21" s="48" t="s">
        <v>35</v>
      </c>
      <c r="G21" s="48" t="s">
        <v>35</v>
      </c>
      <c r="H21" s="48" t="s">
        <v>221</v>
      </c>
      <c r="I21" s="48"/>
      <c r="J21" s="48"/>
    </row>
    <row r="22">
      <c r="A22" s="48" t="s">
        <v>222</v>
      </c>
      <c r="B22" s="48" t="s">
        <v>223</v>
      </c>
      <c r="C22" s="66">
        <v>0.11</v>
      </c>
      <c r="D22" s="48" t="s">
        <v>224</v>
      </c>
      <c r="E22" s="48" t="s">
        <v>35</v>
      </c>
      <c r="F22" s="48" t="s">
        <v>35</v>
      </c>
      <c r="G22" s="48" t="s">
        <v>35</v>
      </c>
      <c r="H22" s="48" t="s">
        <v>225</v>
      </c>
      <c r="I22" s="48"/>
      <c r="J22" s="48"/>
    </row>
    <row r="23">
      <c r="A23" s="48" t="s">
        <v>226</v>
      </c>
      <c r="B23" s="48" t="s">
        <v>227</v>
      </c>
      <c r="C23" s="66">
        <v>0.03</v>
      </c>
      <c r="D23" s="48" t="s">
        <v>228</v>
      </c>
      <c r="E23" s="48" t="s">
        <v>35</v>
      </c>
      <c r="F23" s="48" t="s">
        <v>35</v>
      </c>
      <c r="G23" s="48" t="s">
        <v>35</v>
      </c>
      <c r="H23" s="48" t="s">
        <v>35</v>
      </c>
      <c r="I23" s="48" t="s">
        <v>229</v>
      </c>
      <c r="J23" s="48"/>
    </row>
    <row r="24">
      <c r="A24" s="48" t="s">
        <v>35</v>
      </c>
      <c r="B24" s="48" t="s">
        <v>35</v>
      </c>
      <c r="C24" s="48" t="s">
        <v>35</v>
      </c>
      <c r="D24" s="48" t="s">
        <v>35</v>
      </c>
      <c r="E24" s="48" t="s">
        <v>35</v>
      </c>
      <c r="F24" s="48" t="s">
        <v>35</v>
      </c>
      <c r="G24" s="48" t="s">
        <v>35</v>
      </c>
      <c r="H24" s="48" t="s">
        <v>35</v>
      </c>
      <c r="I24" s="48" t="s">
        <v>35</v>
      </c>
      <c r="J24" s="48" t="s">
        <v>230</v>
      </c>
    </row>
    <row r="25">
      <c r="A25" s="48" t="s">
        <v>231</v>
      </c>
      <c r="B25" s="48" t="s">
        <v>35</v>
      </c>
      <c r="C25" s="48" t="s">
        <v>35</v>
      </c>
      <c r="D25" s="48" t="s">
        <v>35</v>
      </c>
      <c r="E25" s="48" t="s">
        <v>35</v>
      </c>
      <c r="F25" s="48" t="s">
        <v>35</v>
      </c>
      <c r="G25" s="48" t="s">
        <v>35</v>
      </c>
      <c r="H25" s="48" t="s">
        <v>35</v>
      </c>
      <c r="I25" s="48" t="s">
        <v>232</v>
      </c>
      <c r="J25" s="48"/>
    </row>
    <row r="26">
      <c r="A26" s="48" t="s">
        <v>60</v>
      </c>
      <c r="B26" s="48" t="s">
        <v>161</v>
      </c>
      <c r="C26" s="48" t="s">
        <v>233</v>
      </c>
      <c r="D26" s="48" t="s">
        <v>234</v>
      </c>
      <c r="E26" s="48" t="s">
        <v>35</v>
      </c>
      <c r="F26" s="48" t="s">
        <v>35</v>
      </c>
      <c r="G26" s="48" t="s">
        <v>35</v>
      </c>
      <c r="H26" s="48" t="s">
        <v>35</v>
      </c>
      <c r="I26" s="48" t="s">
        <v>235</v>
      </c>
      <c r="J26" s="48"/>
    </row>
    <row r="27">
      <c r="A27" s="48" t="s">
        <v>236</v>
      </c>
      <c r="B27" s="48" t="s">
        <v>237</v>
      </c>
      <c r="C27" s="48" t="str">
        <f>CHOOSE($C$3,"Bear (1)","Base (2)","Bull (3)")</f>
        <v>Bear (1)</v>
      </c>
      <c r="D27" s="48" t="s">
        <v>238</v>
      </c>
      <c r="E27" s="48" t="s">
        <v>35</v>
      </c>
      <c r="F27" s="48" t="s">
        <v>35</v>
      </c>
      <c r="G27" s="48" t="s">
        <v>35</v>
      </c>
      <c r="H27" s="48" t="s">
        <v>35</v>
      </c>
      <c r="I27" s="48" t="s">
        <v>239</v>
      </c>
      <c r="J27" s="48"/>
    </row>
    <row r="28">
      <c r="A28" s="48" t="s">
        <v>240</v>
      </c>
      <c r="B28" s="48" t="s">
        <v>241</v>
      </c>
      <c r="C28" s="70">
        <f>E41</f>
        <v>5.838428571</v>
      </c>
      <c r="D28" s="66" t="str">
        <f>(E41/D41)-1&amp;" Growth"</f>
        <v>0.056046511627907 Growth</v>
      </c>
      <c r="E28" s="48" t="s">
        <v>35</v>
      </c>
      <c r="F28" s="48" t="s">
        <v>35</v>
      </c>
      <c r="G28" s="48" t="s">
        <v>35</v>
      </c>
      <c r="H28" s="48" t="s">
        <v>35</v>
      </c>
      <c r="I28" s="48" t="s">
        <v>242</v>
      </c>
      <c r="J28" s="48"/>
    </row>
    <row r="29">
      <c r="A29" s="48" t="s">
        <v>243</v>
      </c>
      <c r="B29" s="48" t="s">
        <v>244</v>
      </c>
      <c r="C29" s="70">
        <f>C30/C28</f>
        <v>14.4275145</v>
      </c>
      <c r="D29" s="48" t="s">
        <v>245</v>
      </c>
      <c r="E29" s="48" t="s">
        <v>35</v>
      </c>
      <c r="F29" s="48" t="s">
        <v>35</v>
      </c>
      <c r="G29" s="48" t="s">
        <v>35</v>
      </c>
      <c r="H29" s="48" t="s">
        <v>35</v>
      </c>
      <c r="I29" s="48" t="s">
        <v>246</v>
      </c>
      <c r="J29" s="48"/>
    </row>
    <row r="30">
      <c r="A30" s="71" t="s">
        <v>247</v>
      </c>
      <c r="B30" s="71" t="s">
        <v>248</v>
      </c>
      <c r="C30" s="72">
        <f>C51</f>
        <v>84.23401287</v>
      </c>
      <c r="D30" s="71" t="s">
        <v>249</v>
      </c>
      <c r="E30" s="48" t="s">
        <v>35</v>
      </c>
      <c r="F30" s="48" t="s">
        <v>35</v>
      </c>
      <c r="G30" s="48" t="s">
        <v>35</v>
      </c>
      <c r="H30" s="48" t="s">
        <v>35</v>
      </c>
      <c r="I30" s="48" t="s">
        <v>250</v>
      </c>
      <c r="J30" s="48"/>
    </row>
    <row r="31">
      <c r="A31" s="48" t="s">
        <v>251</v>
      </c>
      <c r="B31" s="48" t="s">
        <v>252</v>
      </c>
      <c r="C31" s="48" t="str">
        <f>IF(C51&gt;103,"Buy","Hold")</f>
        <v>Hold</v>
      </c>
      <c r="D31" s="48" t="s">
        <v>253</v>
      </c>
      <c r="E31" s="48" t="s">
        <v>35</v>
      </c>
      <c r="F31" s="48" t="s">
        <v>35</v>
      </c>
      <c r="G31" s="48" t="s">
        <v>35</v>
      </c>
      <c r="H31" s="48" t="s">
        <v>35</v>
      </c>
      <c r="I31" s="48" t="s">
        <v>254</v>
      </c>
      <c r="J31" s="48"/>
    </row>
    <row r="32">
      <c r="A32" s="48" t="s">
        <v>35</v>
      </c>
      <c r="B32" s="48" t="s">
        <v>35</v>
      </c>
      <c r="C32" s="48" t="s">
        <v>35</v>
      </c>
      <c r="D32" s="48" t="s">
        <v>35</v>
      </c>
      <c r="E32" s="48" t="s">
        <v>35</v>
      </c>
      <c r="F32" s="48" t="s">
        <v>35</v>
      </c>
      <c r="G32" s="48" t="s">
        <v>35</v>
      </c>
      <c r="H32" s="48" t="s">
        <v>35</v>
      </c>
      <c r="I32" s="48" t="s">
        <v>35</v>
      </c>
      <c r="J32" s="48" t="s">
        <v>255</v>
      </c>
    </row>
    <row r="33">
      <c r="A33" s="48" t="s">
        <v>256</v>
      </c>
      <c r="B33" s="48" t="s">
        <v>35</v>
      </c>
      <c r="C33" s="48" t="s">
        <v>35</v>
      </c>
      <c r="D33" s="48" t="s">
        <v>35</v>
      </c>
      <c r="E33" s="48" t="s">
        <v>35</v>
      </c>
      <c r="F33" s="48" t="s">
        <v>35</v>
      </c>
      <c r="G33" s="48" t="s">
        <v>35</v>
      </c>
      <c r="H33" s="48" t="s">
        <v>35</v>
      </c>
      <c r="I33" s="48" t="s">
        <v>257</v>
      </c>
      <c r="J33" s="48"/>
    </row>
    <row r="34">
      <c r="A34" s="48" t="s">
        <v>258</v>
      </c>
      <c r="B34" s="48" t="s">
        <v>61</v>
      </c>
      <c r="C34" s="48" t="s">
        <v>259</v>
      </c>
      <c r="D34" s="48" t="s">
        <v>260</v>
      </c>
      <c r="E34" s="48" t="s">
        <v>80</v>
      </c>
      <c r="F34" s="48" t="s">
        <v>81</v>
      </c>
      <c r="G34" s="48" t="s">
        <v>82</v>
      </c>
      <c r="H34" s="48" t="s">
        <v>83</v>
      </c>
      <c r="I34" s="48" t="s">
        <v>188</v>
      </c>
      <c r="J34" s="48" t="s">
        <v>261</v>
      </c>
    </row>
    <row r="35">
      <c r="A35" s="48" t="s">
        <v>262</v>
      </c>
      <c r="B35" s="48" t="s">
        <v>263</v>
      </c>
      <c r="C35" s="48" t="s">
        <v>264</v>
      </c>
      <c r="D35" s="52">
        <f t="shared" ref="D35:I35" si="5">D11</f>
        <v>3800</v>
      </c>
      <c r="E35" s="52">
        <f t="shared" si="5"/>
        <v>4104</v>
      </c>
      <c r="F35" s="52">
        <f t="shared" si="5"/>
        <v>4432.32</v>
      </c>
      <c r="G35" s="52">
        <f t="shared" si="5"/>
        <v>4786.9056</v>
      </c>
      <c r="H35" s="52">
        <f t="shared" si="5"/>
        <v>5169.858048</v>
      </c>
      <c r="I35" s="52">
        <f t="shared" si="5"/>
        <v>5583.446692</v>
      </c>
      <c r="J35" s="48" t="s">
        <v>265</v>
      </c>
    </row>
    <row r="36">
      <c r="A36" s="48" t="s">
        <v>266</v>
      </c>
      <c r="B36" s="48" t="s">
        <v>267</v>
      </c>
      <c r="C36" s="48" t="s">
        <v>264</v>
      </c>
      <c r="D36" s="52">
        <f t="shared" ref="D36:I36" si="6">D12</f>
        <v>1500</v>
      </c>
      <c r="E36" s="52">
        <f t="shared" si="6"/>
        <v>1500</v>
      </c>
      <c r="F36" s="52">
        <f t="shared" si="6"/>
        <v>1500</v>
      </c>
      <c r="G36" s="52">
        <f t="shared" si="6"/>
        <v>1500</v>
      </c>
      <c r="H36" s="52">
        <f t="shared" si="6"/>
        <v>1500</v>
      </c>
      <c r="I36" s="52">
        <f t="shared" si="6"/>
        <v>1500</v>
      </c>
      <c r="J36" s="48" t="s">
        <v>268</v>
      </c>
    </row>
    <row r="37">
      <c r="A37" s="48" t="s">
        <v>269</v>
      </c>
      <c r="B37" s="48" t="s">
        <v>270</v>
      </c>
      <c r="C37" s="48" t="s">
        <v>264</v>
      </c>
      <c r="D37" s="52">
        <f t="shared" ref="D37:I37" si="7">D13</f>
        <v>1150</v>
      </c>
      <c r="E37" s="52">
        <f t="shared" si="7"/>
        <v>1207.5</v>
      </c>
      <c r="F37" s="52">
        <f t="shared" si="7"/>
        <v>1267.875</v>
      </c>
      <c r="G37" s="52">
        <f t="shared" si="7"/>
        <v>1331.26875</v>
      </c>
      <c r="H37" s="52">
        <f t="shared" si="7"/>
        <v>1397.832188</v>
      </c>
      <c r="I37" s="52">
        <f t="shared" si="7"/>
        <v>1467.723797</v>
      </c>
      <c r="J37" s="48" t="s">
        <v>271</v>
      </c>
    </row>
    <row r="38">
      <c r="A38" s="48" t="s">
        <v>35</v>
      </c>
      <c r="B38" s="48" t="s">
        <v>272</v>
      </c>
      <c r="C38" s="48" t="s">
        <v>35</v>
      </c>
      <c r="D38" s="52">
        <f t="shared" ref="D38:I38" si="8">SUM(D35:D37)</f>
        <v>6450</v>
      </c>
      <c r="E38" s="52">
        <f t="shared" si="8"/>
        <v>6811.5</v>
      </c>
      <c r="F38" s="52">
        <f t="shared" si="8"/>
        <v>7200.195</v>
      </c>
      <c r="G38" s="52">
        <f t="shared" si="8"/>
        <v>7618.17435</v>
      </c>
      <c r="H38" s="52">
        <f t="shared" si="8"/>
        <v>8067.690236</v>
      </c>
      <c r="I38" s="52">
        <f t="shared" si="8"/>
        <v>8551.170489</v>
      </c>
      <c r="J38" s="48" t="s">
        <v>273</v>
      </c>
    </row>
    <row r="39">
      <c r="A39" s="48" t="s">
        <v>274</v>
      </c>
      <c r="B39" s="48" t="s">
        <v>275</v>
      </c>
      <c r="C39" s="48" t="s">
        <v>35</v>
      </c>
      <c r="D39" s="52">
        <f t="shared" ref="D39:I39" si="9">D38*$C$20</f>
        <v>1419</v>
      </c>
      <c r="E39" s="52">
        <f t="shared" si="9"/>
        <v>1498.53</v>
      </c>
      <c r="F39" s="52">
        <f t="shared" si="9"/>
        <v>1584.0429</v>
      </c>
      <c r="G39" s="52">
        <f t="shared" si="9"/>
        <v>1675.998357</v>
      </c>
      <c r="H39" s="52">
        <f t="shared" si="9"/>
        <v>1774.891852</v>
      </c>
      <c r="I39" s="52">
        <f t="shared" si="9"/>
        <v>1881.257508</v>
      </c>
      <c r="J39" s="48" t="s">
        <v>276</v>
      </c>
    </row>
    <row r="40">
      <c r="A40" s="48" t="s">
        <v>35</v>
      </c>
      <c r="B40" s="48" t="s">
        <v>277</v>
      </c>
      <c r="C40" s="48" t="s">
        <v>35</v>
      </c>
      <c r="D40" s="52">
        <f t="shared" ref="D40:I40" si="10">D38-D39</f>
        <v>5031</v>
      </c>
      <c r="E40" s="52">
        <f t="shared" si="10"/>
        <v>5312.97</v>
      </c>
      <c r="F40" s="52">
        <f t="shared" si="10"/>
        <v>5616.1521</v>
      </c>
      <c r="G40" s="52">
        <f t="shared" si="10"/>
        <v>5942.175993</v>
      </c>
      <c r="H40" s="52">
        <f t="shared" si="10"/>
        <v>6292.798384</v>
      </c>
      <c r="I40" s="52">
        <f t="shared" si="10"/>
        <v>6669.912981</v>
      </c>
      <c r="J40" s="48" t="s">
        <v>278</v>
      </c>
    </row>
    <row r="41">
      <c r="A41" s="48" t="s">
        <v>35</v>
      </c>
      <c r="B41" s="48" t="s">
        <v>279</v>
      </c>
      <c r="C41" s="48" t="s">
        <v>35</v>
      </c>
      <c r="D41" s="70">
        <f t="shared" ref="D41:I41" si="11">D40/$C$19</f>
        <v>5.528571429</v>
      </c>
      <c r="E41" s="70">
        <f t="shared" si="11"/>
        <v>5.838428571</v>
      </c>
      <c r="F41" s="70">
        <f t="shared" si="11"/>
        <v>6.171595714</v>
      </c>
      <c r="G41" s="70">
        <f t="shared" si="11"/>
        <v>6.529863729</v>
      </c>
      <c r="H41" s="70">
        <f t="shared" si="11"/>
        <v>6.915163059</v>
      </c>
      <c r="I41" s="70">
        <f t="shared" si="11"/>
        <v>7.329574705</v>
      </c>
      <c r="J41" s="48" t="s">
        <v>280</v>
      </c>
    </row>
    <row r="42">
      <c r="A42" s="48" t="s">
        <v>281</v>
      </c>
      <c r="B42" s="48" t="s">
        <v>114</v>
      </c>
      <c r="C42" s="48" t="s">
        <v>18</v>
      </c>
      <c r="D42" s="48">
        <v>0.0</v>
      </c>
      <c r="E42" s="48">
        <v>0.5</v>
      </c>
      <c r="F42" s="48">
        <v>1.5</v>
      </c>
      <c r="G42" s="48">
        <v>2.5</v>
      </c>
      <c r="H42" s="48">
        <v>3.5</v>
      </c>
      <c r="I42" s="48">
        <v>4.5</v>
      </c>
      <c r="J42" s="48" t="s">
        <v>282</v>
      </c>
    </row>
    <row r="43">
      <c r="A43" s="48" t="s">
        <v>35</v>
      </c>
      <c r="B43" s="48" t="s">
        <v>115</v>
      </c>
      <c r="C43" s="48" t="s">
        <v>35</v>
      </c>
      <c r="D43" s="66">
        <f>1</f>
        <v>1</v>
      </c>
      <c r="E43" s="66">
        <f t="shared" ref="E43:I43" si="12">1/(1+$C$22)^E42</f>
        <v>0.9491579958</v>
      </c>
      <c r="F43" s="66">
        <f t="shared" si="12"/>
        <v>0.8550972935</v>
      </c>
      <c r="G43" s="66">
        <f t="shared" si="12"/>
        <v>0.770357922</v>
      </c>
      <c r="H43" s="66">
        <f t="shared" si="12"/>
        <v>0.694016146</v>
      </c>
      <c r="I43" s="66">
        <f t="shared" si="12"/>
        <v>0.6252397712</v>
      </c>
      <c r="J43" s="48" t="s">
        <v>283</v>
      </c>
    </row>
    <row r="44">
      <c r="A44" s="48" t="s">
        <v>35</v>
      </c>
      <c r="B44" s="48" t="s">
        <v>284</v>
      </c>
      <c r="C44" s="48" t="str">
        <f>DE*Factor</f>
        <v>#NAME?</v>
      </c>
      <c r="D44" s="52">
        <f t="shared" ref="D44:I44" si="13">D40*D43</f>
        <v>5031</v>
      </c>
      <c r="E44" s="52">
        <f t="shared" si="13"/>
        <v>5042.847957</v>
      </c>
      <c r="F44" s="52">
        <f t="shared" si="13"/>
        <v>4802.35646</v>
      </c>
      <c r="G44" s="52">
        <f t="shared" si="13"/>
        <v>4577.60235</v>
      </c>
      <c r="H44" s="52">
        <f t="shared" si="13"/>
        <v>4367.303682</v>
      </c>
      <c r="I44" s="52">
        <f t="shared" si="13"/>
        <v>4170.294866</v>
      </c>
      <c r="J44" s="48" t="s">
        <v>285</v>
      </c>
    </row>
    <row r="45">
      <c r="A45" s="48" t="s">
        <v>286</v>
      </c>
      <c r="B45" s="48" t="s">
        <v>287</v>
      </c>
      <c r="C45" s="52">
        <f>SUM(E44:I44)</f>
        <v>22960.40532</v>
      </c>
      <c r="D45" s="48" t="s">
        <v>288</v>
      </c>
      <c r="E45" s="48" t="s">
        <v>35</v>
      </c>
      <c r="F45" s="48" t="s">
        <v>35</v>
      </c>
      <c r="G45" s="48" t="s">
        <v>35</v>
      </c>
      <c r="H45" s="48" t="s">
        <v>35</v>
      </c>
      <c r="I45" s="48" t="s">
        <v>289</v>
      </c>
      <c r="J45" s="48"/>
    </row>
    <row r="46">
      <c r="A46" s="48" t="s">
        <v>35</v>
      </c>
      <c r="B46" s="48" t="s">
        <v>290</v>
      </c>
      <c r="C46" s="52">
        <f>(I40*(1+$C$23))/($C$22-$C$23)</f>
        <v>85875.12963</v>
      </c>
      <c r="D46" s="48" t="s">
        <v>291</v>
      </c>
      <c r="E46" s="48" t="s">
        <v>35</v>
      </c>
      <c r="F46" s="48" t="s">
        <v>35</v>
      </c>
      <c r="G46" s="48" t="s">
        <v>35</v>
      </c>
      <c r="H46" s="48" t="s">
        <v>35</v>
      </c>
      <c r="I46" s="48" t="s">
        <v>292</v>
      </c>
      <c r="J46" s="48"/>
    </row>
    <row r="47">
      <c r="A47" s="48" t="s">
        <v>35</v>
      </c>
      <c r="B47" s="48" t="s">
        <v>293</v>
      </c>
      <c r="C47" s="52">
        <f>C46*I43</f>
        <v>53692.5464</v>
      </c>
      <c r="D47" s="48" t="s">
        <v>294</v>
      </c>
      <c r="E47" s="48" t="s">
        <v>35</v>
      </c>
      <c r="F47" s="48" t="s">
        <v>35</v>
      </c>
      <c r="G47" s="48" t="s">
        <v>35</v>
      </c>
      <c r="H47" s="48" t="s">
        <v>35</v>
      </c>
      <c r="I47" s="48" t="s">
        <v>295</v>
      </c>
      <c r="J47" s="48"/>
    </row>
    <row r="48">
      <c r="A48" s="48" t="s">
        <v>35</v>
      </c>
      <c r="B48" s="48" t="s">
        <v>296</v>
      </c>
      <c r="C48" s="48">
        <f>$C$21</f>
        <v>0</v>
      </c>
      <c r="D48" s="48" t="s">
        <v>297</v>
      </c>
      <c r="E48" s="48" t="s">
        <v>35</v>
      </c>
      <c r="F48" s="48" t="s">
        <v>35</v>
      </c>
      <c r="G48" s="48" t="s">
        <v>35</v>
      </c>
      <c r="H48" s="48" t="s">
        <v>35</v>
      </c>
      <c r="I48" s="48" t="s">
        <v>298</v>
      </c>
      <c r="J48" s="48"/>
    </row>
    <row r="49">
      <c r="A49" s="48" t="s">
        <v>35</v>
      </c>
      <c r="B49" s="48" t="s">
        <v>299</v>
      </c>
      <c r="C49" s="52">
        <f>SUM(C45,C47,C48)</f>
        <v>76652.95172</v>
      </c>
      <c r="D49" s="48" t="s">
        <v>300</v>
      </c>
      <c r="E49" s="48" t="s">
        <v>35</v>
      </c>
      <c r="F49" s="48" t="s">
        <v>35</v>
      </c>
      <c r="G49" s="48" t="s">
        <v>35</v>
      </c>
      <c r="H49" s="48" t="s">
        <v>35</v>
      </c>
      <c r="I49" s="48" t="s">
        <v>301</v>
      </c>
      <c r="J49" s="48"/>
    </row>
    <row r="50">
      <c r="A50" s="48" t="s">
        <v>35</v>
      </c>
      <c r="B50" s="48" t="s">
        <v>302</v>
      </c>
      <c r="C50" s="48">
        <f>$C$19</f>
        <v>910</v>
      </c>
      <c r="D50" s="48" t="s">
        <v>303</v>
      </c>
      <c r="E50" s="48" t="s">
        <v>35</v>
      </c>
      <c r="F50" s="48" t="s">
        <v>35</v>
      </c>
      <c r="G50" s="48" t="s">
        <v>35</v>
      </c>
      <c r="H50" s="48" t="s">
        <v>35</v>
      </c>
      <c r="I50" s="48" t="s">
        <v>304</v>
      </c>
      <c r="J50" s="48"/>
    </row>
    <row r="51">
      <c r="A51" s="48" t="s">
        <v>35</v>
      </c>
      <c r="B51" s="67" t="s">
        <v>305</v>
      </c>
      <c r="C51" s="73">
        <f>C49/C50</f>
        <v>84.23401287</v>
      </c>
      <c r="D51" s="48" t="s">
        <v>306</v>
      </c>
      <c r="E51" s="48" t="s">
        <v>35</v>
      </c>
      <c r="F51" s="48" t="s">
        <v>35</v>
      </c>
      <c r="G51" s="48" t="s">
        <v>35</v>
      </c>
      <c r="H51" s="48" t="s">
        <v>35</v>
      </c>
      <c r="I51" s="48" t="s">
        <v>307</v>
      </c>
      <c r="J51" s="48"/>
    </row>
    <row r="54">
      <c r="A54" s="48" t="s">
        <v>308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19.5"/>
  </cols>
  <sheetData>
    <row r="1">
      <c r="A1" s="48" t="s">
        <v>159</v>
      </c>
      <c r="B1" s="48" t="s">
        <v>35</v>
      </c>
      <c r="C1" s="48" t="s">
        <v>35</v>
      </c>
      <c r="D1" s="48" t="s">
        <v>35</v>
      </c>
      <c r="E1" s="48" t="s">
        <v>35</v>
      </c>
      <c r="F1" s="48" t="s">
        <v>35</v>
      </c>
      <c r="G1" s="48" t="s">
        <v>35</v>
      </c>
      <c r="H1" s="48" t="s">
        <v>35</v>
      </c>
      <c r="I1" s="48" t="s">
        <v>160</v>
      </c>
      <c r="J1" s="48"/>
    </row>
    <row r="2">
      <c r="A2" s="48" t="s">
        <v>60</v>
      </c>
      <c r="B2" s="48" t="s">
        <v>161</v>
      </c>
      <c r="C2" s="48" t="s">
        <v>162</v>
      </c>
      <c r="D2" s="48" t="s">
        <v>163</v>
      </c>
      <c r="E2" s="48" t="s">
        <v>164</v>
      </c>
      <c r="F2" s="48" t="s">
        <v>165</v>
      </c>
      <c r="G2" s="48" t="s">
        <v>166</v>
      </c>
      <c r="H2" s="48" t="s">
        <v>35</v>
      </c>
      <c r="I2" s="48" t="s">
        <v>167</v>
      </c>
      <c r="J2" s="48"/>
    </row>
    <row r="3">
      <c r="A3" s="48" t="s">
        <v>168</v>
      </c>
      <c r="B3" s="48" t="s">
        <v>169</v>
      </c>
      <c r="C3" s="48">
        <v>1.0</v>
      </c>
      <c r="D3" s="48" t="s">
        <v>35</v>
      </c>
      <c r="E3" s="48" t="s">
        <v>35</v>
      </c>
      <c r="F3" s="48" t="s">
        <v>35</v>
      </c>
      <c r="G3" s="48" t="s">
        <v>170</v>
      </c>
      <c r="H3" s="48" t="s">
        <v>35</v>
      </c>
      <c r="I3" s="48" t="s">
        <v>171</v>
      </c>
      <c r="J3" s="48"/>
    </row>
    <row r="4">
      <c r="A4" s="48" t="s">
        <v>309</v>
      </c>
      <c r="B4" s="48" t="s">
        <v>310</v>
      </c>
      <c r="C4" s="66">
        <f t="shared" ref="C4:C7" si="1">CHOOSE($C$3,D4,E4,F4)</f>
        <v>0.09</v>
      </c>
      <c r="D4" s="66">
        <v>0.09</v>
      </c>
      <c r="E4" s="66">
        <v>0.115</v>
      </c>
      <c r="F4" s="66">
        <v>0.14</v>
      </c>
      <c r="G4" s="48" t="s">
        <v>311</v>
      </c>
      <c r="H4" s="48" t="s">
        <v>35</v>
      </c>
      <c r="I4" s="48" t="s">
        <v>174</v>
      </c>
      <c r="J4" s="48"/>
    </row>
    <row r="5">
      <c r="A5" s="48" t="s">
        <v>312</v>
      </c>
      <c r="B5" s="48" t="s">
        <v>310</v>
      </c>
      <c r="C5" s="66">
        <f t="shared" si="1"/>
        <v>0.07</v>
      </c>
      <c r="D5" s="66">
        <v>0.07</v>
      </c>
      <c r="E5" s="66">
        <v>0.1</v>
      </c>
      <c r="F5" s="66">
        <v>0.12</v>
      </c>
      <c r="G5" s="48" t="s">
        <v>313</v>
      </c>
      <c r="H5" s="48" t="s">
        <v>35</v>
      </c>
      <c r="I5" s="48" t="s">
        <v>177</v>
      </c>
      <c r="J5" s="48"/>
    </row>
    <row r="6">
      <c r="A6" s="48" t="s">
        <v>314</v>
      </c>
      <c r="B6" s="48" t="s">
        <v>310</v>
      </c>
      <c r="C6" s="66">
        <f t="shared" si="1"/>
        <v>-0.02</v>
      </c>
      <c r="D6" s="66">
        <v>-0.02</v>
      </c>
      <c r="E6" s="66">
        <v>0.0</v>
      </c>
      <c r="F6" s="66">
        <v>0.02</v>
      </c>
      <c r="G6" s="48" t="s">
        <v>315</v>
      </c>
      <c r="H6" s="48" t="s">
        <v>35</v>
      </c>
      <c r="I6" s="48" t="s">
        <v>179</v>
      </c>
      <c r="J6" s="48"/>
    </row>
    <row r="7">
      <c r="A7" s="48" t="s">
        <v>316</v>
      </c>
      <c r="B7" s="48" t="s">
        <v>317</v>
      </c>
      <c r="C7" s="66">
        <f t="shared" si="1"/>
        <v>0.45</v>
      </c>
      <c r="D7" s="66">
        <v>0.45</v>
      </c>
      <c r="E7" s="66">
        <v>0.465</v>
      </c>
      <c r="F7" s="66">
        <v>0.48</v>
      </c>
      <c r="G7" s="48" t="s">
        <v>318</v>
      </c>
      <c r="H7" s="48" t="s">
        <v>35</v>
      </c>
      <c r="I7" s="48" t="s">
        <v>180</v>
      </c>
      <c r="J7" s="48"/>
    </row>
    <row r="8">
      <c r="A8" s="48" t="s">
        <v>35</v>
      </c>
      <c r="B8" s="48" t="s">
        <v>35</v>
      </c>
      <c r="C8" s="48" t="s">
        <v>35</v>
      </c>
      <c r="D8" s="48" t="s">
        <v>35</v>
      </c>
      <c r="E8" s="48" t="s">
        <v>35</v>
      </c>
      <c r="F8" s="48" t="s">
        <v>35</v>
      </c>
      <c r="G8" s="48" t="s">
        <v>35</v>
      </c>
      <c r="H8" s="48" t="s">
        <v>35</v>
      </c>
      <c r="I8" s="48" t="s">
        <v>35</v>
      </c>
      <c r="J8" s="48" t="s">
        <v>181</v>
      </c>
    </row>
    <row r="9">
      <c r="A9" s="48" t="s">
        <v>319</v>
      </c>
      <c r="B9" s="48" t="s">
        <v>35</v>
      </c>
      <c r="C9" s="48" t="s">
        <v>35</v>
      </c>
      <c r="D9" s="48" t="s">
        <v>35</v>
      </c>
      <c r="E9" s="48" t="s">
        <v>35</v>
      </c>
      <c r="F9" s="48" t="s">
        <v>35</v>
      </c>
      <c r="G9" s="48" t="s">
        <v>35</v>
      </c>
      <c r="H9" s="48" t="s">
        <v>35</v>
      </c>
      <c r="I9" s="48" t="s">
        <v>183</v>
      </c>
      <c r="J9" s="48"/>
    </row>
    <row r="10">
      <c r="A10" s="48" t="s">
        <v>60</v>
      </c>
      <c r="B10" s="48" t="s">
        <v>184</v>
      </c>
      <c r="C10" s="48" t="s">
        <v>185</v>
      </c>
      <c r="D10" s="48" t="s">
        <v>320</v>
      </c>
      <c r="E10" s="48" t="s">
        <v>187</v>
      </c>
      <c r="F10" s="48" t="s">
        <v>81</v>
      </c>
      <c r="G10" s="48" t="s">
        <v>82</v>
      </c>
      <c r="H10" s="48" t="s">
        <v>83</v>
      </c>
      <c r="I10" s="48" t="s">
        <v>188</v>
      </c>
      <c r="J10" s="48" t="s">
        <v>189</v>
      </c>
    </row>
    <row r="11">
      <c r="A11" s="48" t="s">
        <v>321</v>
      </c>
      <c r="B11" s="48" t="s">
        <v>322</v>
      </c>
      <c r="C11" s="66">
        <f>$C$4</f>
        <v>0.09</v>
      </c>
      <c r="D11" s="52">
        <v>17550.0</v>
      </c>
      <c r="E11" s="52">
        <f t="shared" ref="E11:I11" si="2">D11*(1+$C11)</f>
        <v>19129.5</v>
      </c>
      <c r="F11" s="52">
        <f t="shared" si="2"/>
        <v>20851.155</v>
      </c>
      <c r="G11" s="52">
        <f t="shared" si="2"/>
        <v>22727.75895</v>
      </c>
      <c r="H11" s="52">
        <f t="shared" si="2"/>
        <v>24773.25726</v>
      </c>
      <c r="I11" s="52">
        <f t="shared" si="2"/>
        <v>27002.85041</v>
      </c>
      <c r="J11" s="48" t="s">
        <v>192</v>
      </c>
    </row>
    <row r="12">
      <c r="A12" s="48" t="s">
        <v>323</v>
      </c>
      <c r="B12" s="48" t="s">
        <v>324</v>
      </c>
      <c r="C12" s="66">
        <f>$C$5</f>
        <v>0.07</v>
      </c>
      <c r="D12" s="52">
        <v>5850.0</v>
      </c>
      <c r="E12" s="52">
        <f t="shared" ref="E12:I12" si="3">D12*(1+$C12)</f>
        <v>6259.5</v>
      </c>
      <c r="F12" s="52">
        <f t="shared" si="3"/>
        <v>6697.665</v>
      </c>
      <c r="G12" s="52">
        <f t="shared" si="3"/>
        <v>7166.50155</v>
      </c>
      <c r="H12" s="52">
        <f t="shared" si="3"/>
        <v>7668.156659</v>
      </c>
      <c r="I12" s="52">
        <f t="shared" si="3"/>
        <v>8204.927625</v>
      </c>
      <c r="J12" s="48" t="s">
        <v>195</v>
      </c>
    </row>
    <row r="13">
      <c r="A13" s="48" t="s">
        <v>325</v>
      </c>
      <c r="B13" s="48" t="s">
        <v>326</v>
      </c>
      <c r="C13" s="66">
        <f>$C$6</f>
        <v>-0.02</v>
      </c>
      <c r="D13" s="52">
        <v>400.0</v>
      </c>
      <c r="E13" s="52">
        <f t="shared" ref="E13:I13" si="4">D13*(1+$C13)</f>
        <v>392</v>
      </c>
      <c r="F13" s="52">
        <f t="shared" si="4"/>
        <v>384.16</v>
      </c>
      <c r="G13" s="52">
        <f t="shared" si="4"/>
        <v>376.4768</v>
      </c>
      <c r="H13" s="52">
        <f t="shared" si="4"/>
        <v>368.947264</v>
      </c>
      <c r="I13" s="52">
        <f t="shared" si="4"/>
        <v>361.5683187</v>
      </c>
      <c r="J13" s="48" t="s">
        <v>198</v>
      </c>
    </row>
    <row r="14">
      <c r="A14" s="48" t="s">
        <v>327</v>
      </c>
      <c r="B14" s="48" t="s">
        <v>98</v>
      </c>
      <c r="C14" s="48" t="s">
        <v>18</v>
      </c>
      <c r="D14" s="52">
        <f t="shared" ref="D14:I14" si="5">SUM(D11:D13)</f>
        <v>23800</v>
      </c>
      <c r="E14" s="52">
        <f t="shared" si="5"/>
        <v>25781</v>
      </c>
      <c r="F14" s="52">
        <f t="shared" si="5"/>
        <v>27932.98</v>
      </c>
      <c r="G14" s="52">
        <f t="shared" si="5"/>
        <v>30270.7373</v>
      </c>
      <c r="H14" s="52">
        <f t="shared" si="5"/>
        <v>32810.36118</v>
      </c>
      <c r="I14" s="52">
        <f t="shared" si="5"/>
        <v>35569.34635</v>
      </c>
      <c r="J14" s="48" t="s">
        <v>202</v>
      </c>
    </row>
    <row r="15">
      <c r="A15" s="48" t="s">
        <v>35</v>
      </c>
      <c r="B15" s="48" t="s">
        <v>35</v>
      </c>
      <c r="C15" s="48" t="s">
        <v>35</v>
      </c>
      <c r="D15" s="48" t="s">
        <v>35</v>
      </c>
      <c r="E15" s="48" t="s">
        <v>35</v>
      </c>
      <c r="F15" s="48" t="s">
        <v>35</v>
      </c>
      <c r="G15" s="48" t="s">
        <v>35</v>
      </c>
      <c r="H15" s="48" t="s">
        <v>35</v>
      </c>
      <c r="I15" s="48" t="s">
        <v>35</v>
      </c>
      <c r="J15" s="48" t="s">
        <v>203</v>
      </c>
    </row>
    <row r="16">
      <c r="A16" s="48" t="s">
        <v>35</v>
      </c>
      <c r="B16" s="48" t="s">
        <v>35</v>
      </c>
      <c r="C16" s="48" t="s">
        <v>35</v>
      </c>
      <c r="D16" s="48" t="s">
        <v>35</v>
      </c>
      <c r="E16" s="48" t="s">
        <v>35</v>
      </c>
      <c r="F16" s="48" t="s">
        <v>35</v>
      </c>
      <c r="G16" s="48" t="s">
        <v>35</v>
      </c>
      <c r="H16" s="48" t="s">
        <v>35</v>
      </c>
      <c r="I16" s="48" t="s">
        <v>35</v>
      </c>
      <c r="J16" s="48" t="s">
        <v>204</v>
      </c>
    </row>
    <row r="17">
      <c r="A17" s="48" t="s">
        <v>205</v>
      </c>
      <c r="B17" s="48" t="s">
        <v>35</v>
      </c>
      <c r="C17" s="48" t="s">
        <v>35</v>
      </c>
      <c r="D17" s="48" t="s">
        <v>35</v>
      </c>
      <c r="E17" s="48" t="s">
        <v>35</v>
      </c>
      <c r="F17" s="48" t="s">
        <v>35</v>
      </c>
      <c r="G17" s="48" t="s">
        <v>35</v>
      </c>
      <c r="H17" s="48" t="s">
        <v>35</v>
      </c>
      <c r="I17" s="48" t="s">
        <v>206</v>
      </c>
      <c r="J17" s="48"/>
    </row>
    <row r="18">
      <c r="A18" s="48" t="s">
        <v>60</v>
      </c>
      <c r="B18" s="48" t="s">
        <v>161</v>
      </c>
      <c r="C18" s="48" t="s">
        <v>207</v>
      </c>
      <c r="D18" s="48" t="s">
        <v>208</v>
      </c>
      <c r="E18" s="48" t="s">
        <v>35</v>
      </c>
      <c r="F18" s="48" t="s">
        <v>35</v>
      </c>
      <c r="G18" s="48" t="s">
        <v>35</v>
      </c>
      <c r="H18" s="48" t="s">
        <v>35</v>
      </c>
      <c r="I18" s="48" t="s">
        <v>209</v>
      </c>
      <c r="J18" s="48"/>
    </row>
    <row r="19">
      <c r="A19" s="71" t="s">
        <v>328</v>
      </c>
      <c r="B19" s="71" t="s">
        <v>329</v>
      </c>
      <c r="C19" s="71">
        <v>268.0</v>
      </c>
      <c r="D19" s="71" t="s">
        <v>330</v>
      </c>
      <c r="E19" s="48" t="s">
        <v>35</v>
      </c>
      <c r="F19" s="48" t="s">
        <v>35</v>
      </c>
      <c r="G19" s="48" t="s">
        <v>35</v>
      </c>
      <c r="H19" s="48" t="s">
        <v>35</v>
      </c>
      <c r="I19" s="48" t="s">
        <v>213</v>
      </c>
      <c r="J19" s="48"/>
    </row>
    <row r="20">
      <c r="A20" s="48" t="s">
        <v>210</v>
      </c>
      <c r="B20" s="48" t="s">
        <v>211</v>
      </c>
      <c r="C20" s="48">
        <v>448.0</v>
      </c>
      <c r="D20" s="48" t="s">
        <v>331</v>
      </c>
      <c r="E20" s="48" t="s">
        <v>35</v>
      </c>
      <c r="F20" s="48" t="s">
        <v>35</v>
      </c>
      <c r="G20" s="48" t="s">
        <v>35</v>
      </c>
      <c r="H20" s="48" t="s">
        <v>35</v>
      </c>
      <c r="I20" s="48" t="s">
        <v>217</v>
      </c>
      <c r="J20" s="48"/>
    </row>
    <row r="21">
      <c r="A21" s="48" t="s">
        <v>214</v>
      </c>
      <c r="B21" s="48" t="s">
        <v>215</v>
      </c>
      <c r="C21" s="66">
        <v>0.18</v>
      </c>
      <c r="D21" s="48" t="s">
        <v>332</v>
      </c>
      <c r="E21" s="48" t="s">
        <v>35</v>
      </c>
      <c r="F21" s="48" t="s">
        <v>35</v>
      </c>
      <c r="G21" s="48" t="s">
        <v>35</v>
      </c>
      <c r="H21" s="48" t="s">
        <v>35</v>
      </c>
      <c r="I21" s="48" t="s">
        <v>221</v>
      </c>
      <c r="J21" s="48"/>
    </row>
    <row r="22">
      <c r="A22" s="48" t="s">
        <v>333</v>
      </c>
      <c r="B22" s="48" t="s">
        <v>334</v>
      </c>
      <c r="C22" s="48">
        <v>5200.0</v>
      </c>
      <c r="D22" s="48" t="s">
        <v>335</v>
      </c>
      <c r="E22" s="48" t="s">
        <v>35</v>
      </c>
      <c r="F22" s="48" t="s">
        <v>336</v>
      </c>
      <c r="G22" s="48" t="s">
        <v>35</v>
      </c>
      <c r="H22" s="48" t="s">
        <v>225</v>
      </c>
      <c r="I22" s="48"/>
      <c r="J22" s="48"/>
    </row>
    <row r="23">
      <c r="A23" s="48" t="s">
        <v>222</v>
      </c>
      <c r="B23" s="48" t="s">
        <v>223</v>
      </c>
      <c r="C23" s="48">
        <f>CHOOSE($C$3,10.5%,9.5%,8.5%)</f>
        <v>0.105</v>
      </c>
      <c r="D23" s="48" t="s">
        <v>337</v>
      </c>
      <c r="E23" s="48" t="s">
        <v>35</v>
      </c>
      <c r="F23" s="48" t="s">
        <v>35</v>
      </c>
      <c r="G23" s="48" t="s">
        <v>35</v>
      </c>
      <c r="H23" s="48" t="s">
        <v>229</v>
      </c>
      <c r="I23" s="48"/>
      <c r="J23" s="48"/>
    </row>
    <row r="24">
      <c r="A24" s="48" t="s">
        <v>226</v>
      </c>
      <c r="B24" s="48" t="s">
        <v>227</v>
      </c>
      <c r="C24" s="48">
        <f>CHOOSE($C$3,2.5%,3%,3.5%)</f>
        <v>0.025</v>
      </c>
      <c r="D24" s="48" t="s">
        <v>338</v>
      </c>
      <c r="E24" s="48" t="s">
        <v>35</v>
      </c>
      <c r="F24" s="48" t="s">
        <v>35</v>
      </c>
      <c r="G24" s="48" t="s">
        <v>35</v>
      </c>
      <c r="H24" s="48" t="s">
        <v>230</v>
      </c>
      <c r="I24" s="48"/>
      <c r="J24" s="48"/>
    </row>
    <row r="25">
      <c r="A25" s="48" t="s">
        <v>35</v>
      </c>
      <c r="B25" s="48" t="s">
        <v>35</v>
      </c>
      <c r="C25" s="48" t="s">
        <v>35</v>
      </c>
      <c r="D25" s="48" t="s">
        <v>35</v>
      </c>
      <c r="E25" s="48" t="s">
        <v>35</v>
      </c>
      <c r="F25" s="48" t="s">
        <v>35</v>
      </c>
      <c r="G25" s="48" t="s">
        <v>35</v>
      </c>
      <c r="H25" s="48" t="s">
        <v>35</v>
      </c>
      <c r="I25" s="48" t="s">
        <v>35</v>
      </c>
      <c r="J25" s="48" t="s">
        <v>232</v>
      </c>
    </row>
    <row r="26">
      <c r="A26" s="48" t="s">
        <v>231</v>
      </c>
      <c r="B26" s="48" t="s">
        <v>35</v>
      </c>
      <c r="C26" s="48" t="s">
        <v>35</v>
      </c>
      <c r="D26" s="48" t="s">
        <v>35</v>
      </c>
      <c r="E26" s="48" t="s">
        <v>35</v>
      </c>
      <c r="F26" s="48" t="s">
        <v>35</v>
      </c>
      <c r="G26" s="48" t="s">
        <v>35</v>
      </c>
      <c r="H26" s="48" t="s">
        <v>35</v>
      </c>
      <c r="I26" s="48" t="s">
        <v>235</v>
      </c>
      <c r="J26" s="48"/>
    </row>
    <row r="27">
      <c r="A27" s="48" t="s">
        <v>60</v>
      </c>
      <c r="B27" s="48" t="s">
        <v>161</v>
      </c>
      <c r="C27" s="48" t="s">
        <v>233</v>
      </c>
      <c r="D27" s="48" t="s">
        <v>234</v>
      </c>
      <c r="E27" s="48" t="s">
        <v>35</v>
      </c>
      <c r="F27" s="48" t="s">
        <v>35</v>
      </c>
      <c r="G27" s="48" t="s">
        <v>35</v>
      </c>
      <c r="H27" s="48" t="s">
        <v>35</v>
      </c>
      <c r="I27" s="48" t="s">
        <v>239</v>
      </c>
      <c r="J27" s="48"/>
    </row>
    <row r="28">
      <c r="A28" s="48" t="s">
        <v>236</v>
      </c>
      <c r="B28" s="48" t="s">
        <v>237</v>
      </c>
      <c r="C28" s="48" t="str">
        <f>CHOOSE($C$3,"Bear (1)","Base (2)","Bull (3)")</f>
        <v>Bear (1)</v>
      </c>
      <c r="D28" s="48" t="s">
        <v>238</v>
      </c>
      <c r="E28" s="48" t="s">
        <v>35</v>
      </c>
      <c r="F28" s="48" t="s">
        <v>35</v>
      </c>
      <c r="G28" s="48" t="s">
        <v>35</v>
      </c>
      <c r="H28" s="48" t="s">
        <v>35</v>
      </c>
      <c r="I28" s="48" t="s">
        <v>242</v>
      </c>
      <c r="J28" s="48"/>
    </row>
    <row r="29">
      <c r="A29" s="71" t="s">
        <v>339</v>
      </c>
      <c r="B29" s="71" t="s">
        <v>340</v>
      </c>
      <c r="C29" s="72">
        <f>C55</f>
        <v>330.0514743</v>
      </c>
      <c r="D29" s="71" t="s">
        <v>248</v>
      </c>
      <c r="E29" s="48" t="s">
        <v>35</v>
      </c>
      <c r="F29" s="48" t="s">
        <v>35</v>
      </c>
      <c r="G29" s="48" t="s">
        <v>35</v>
      </c>
      <c r="H29" s="48" t="s">
        <v>35</v>
      </c>
      <c r="I29" s="48" t="s">
        <v>246</v>
      </c>
      <c r="J29" s="48"/>
    </row>
    <row r="30">
      <c r="A30" s="48" t="s">
        <v>341</v>
      </c>
      <c r="B30" s="48" t="s">
        <v>342</v>
      </c>
      <c r="C30" s="66">
        <f>C29/C19-1</f>
        <v>0.2315353518</v>
      </c>
      <c r="D30" s="48" t="s">
        <v>343</v>
      </c>
      <c r="E30" s="48" t="s">
        <v>35</v>
      </c>
      <c r="F30" s="48" t="s">
        <v>35</v>
      </c>
      <c r="G30" s="48" t="s">
        <v>35</v>
      </c>
      <c r="H30" s="48" t="s">
        <v>35</v>
      </c>
      <c r="I30" s="48" t="s">
        <v>250</v>
      </c>
      <c r="J30" s="48"/>
    </row>
    <row r="31">
      <c r="A31" s="48" t="s">
        <v>344</v>
      </c>
      <c r="B31" s="48" t="s">
        <v>345</v>
      </c>
      <c r="C31" s="70">
        <f>E42</f>
        <v>21.23479688</v>
      </c>
      <c r="D31" s="48" t="s">
        <v>346</v>
      </c>
      <c r="E31" s="48" t="s">
        <v>35</v>
      </c>
      <c r="F31" s="48" t="s">
        <v>35</v>
      </c>
      <c r="G31" s="48" t="s">
        <v>35</v>
      </c>
      <c r="H31" s="48" t="s">
        <v>35</v>
      </c>
      <c r="I31" s="48" t="s">
        <v>254</v>
      </c>
      <c r="J31" s="48"/>
    </row>
    <row r="32">
      <c r="A32" s="48" t="s">
        <v>347</v>
      </c>
      <c r="B32" s="48" t="s">
        <v>244</v>
      </c>
      <c r="C32" s="70">
        <f>C19/E42</f>
        <v>12.62079414</v>
      </c>
      <c r="D32" s="48" t="s">
        <v>348</v>
      </c>
      <c r="E32" s="48" t="s">
        <v>35</v>
      </c>
      <c r="F32" s="48" t="s">
        <v>35</v>
      </c>
      <c r="G32" s="48" t="s">
        <v>35</v>
      </c>
      <c r="H32" s="48" t="s">
        <v>35</v>
      </c>
      <c r="I32" s="48" t="s">
        <v>255</v>
      </c>
      <c r="J32" s="48"/>
    </row>
    <row r="33">
      <c r="A33" s="48" t="s">
        <v>251</v>
      </c>
      <c r="B33" s="48" t="s">
        <v>349</v>
      </c>
      <c r="C33" s="48" t="str">
        <f>IF(C30&gt;0.15,"저평가 (Buy)",IF(C30&lt;-0.15,"고평가 (Sell)","적정 (Hold)"))</f>
        <v>저평가 (Buy)</v>
      </c>
      <c r="D33" s="48" t="s">
        <v>350</v>
      </c>
      <c r="E33" s="48" t="s">
        <v>35</v>
      </c>
      <c r="F33" s="48" t="s">
        <v>35</v>
      </c>
      <c r="G33" s="48" t="s">
        <v>35</v>
      </c>
      <c r="H33" s="48" t="s">
        <v>35</v>
      </c>
      <c r="I33" s="48" t="s">
        <v>257</v>
      </c>
      <c r="J33" s="48"/>
    </row>
    <row r="34">
      <c r="A34" s="48" t="s">
        <v>35</v>
      </c>
      <c r="B34" s="48" t="s">
        <v>35</v>
      </c>
      <c r="C34" s="48" t="s">
        <v>35</v>
      </c>
      <c r="D34" s="48" t="s">
        <v>35</v>
      </c>
      <c r="E34" s="48" t="s">
        <v>35</v>
      </c>
      <c r="F34" s="48" t="s">
        <v>35</v>
      </c>
      <c r="G34" s="48" t="s">
        <v>35</v>
      </c>
      <c r="H34" s="48" t="s">
        <v>35</v>
      </c>
      <c r="I34" s="48" t="s">
        <v>35</v>
      </c>
      <c r="J34" s="48" t="s">
        <v>261</v>
      </c>
    </row>
    <row r="35">
      <c r="A35" s="48" t="s">
        <v>256</v>
      </c>
      <c r="B35" s="48" t="s">
        <v>35</v>
      </c>
      <c r="C35" s="48" t="s">
        <v>35</v>
      </c>
      <c r="D35" s="48" t="s">
        <v>35</v>
      </c>
      <c r="E35" s="48" t="s">
        <v>35</v>
      </c>
      <c r="F35" s="48" t="s">
        <v>35</v>
      </c>
      <c r="G35" s="48" t="s">
        <v>35</v>
      </c>
      <c r="H35" s="48" t="s">
        <v>35</v>
      </c>
      <c r="I35" s="48" t="s">
        <v>265</v>
      </c>
      <c r="J35" s="48"/>
    </row>
    <row r="36">
      <c r="A36" s="48" t="s">
        <v>258</v>
      </c>
      <c r="B36" s="48" t="s">
        <v>61</v>
      </c>
      <c r="C36" s="48" t="s">
        <v>351</v>
      </c>
      <c r="D36" s="48" t="s">
        <v>352</v>
      </c>
      <c r="E36" s="48" t="s">
        <v>80</v>
      </c>
      <c r="F36" s="48" t="s">
        <v>81</v>
      </c>
      <c r="G36" s="48" t="s">
        <v>82</v>
      </c>
      <c r="H36" s="48" t="s">
        <v>83</v>
      </c>
      <c r="I36" s="48" t="s">
        <v>188</v>
      </c>
      <c r="J36" s="48" t="s">
        <v>268</v>
      </c>
    </row>
    <row r="37">
      <c r="A37" s="48" t="s">
        <v>262</v>
      </c>
      <c r="B37" s="48" t="s">
        <v>98</v>
      </c>
      <c r="C37" s="48" t="s">
        <v>18</v>
      </c>
      <c r="D37" s="52">
        <f t="shared" ref="D37:I37" si="6">D14</f>
        <v>23800</v>
      </c>
      <c r="E37" s="52">
        <f t="shared" si="6"/>
        <v>25781</v>
      </c>
      <c r="F37" s="52">
        <f t="shared" si="6"/>
        <v>27932.98</v>
      </c>
      <c r="G37" s="52">
        <f t="shared" si="6"/>
        <v>30270.7373</v>
      </c>
      <c r="H37" s="52">
        <f t="shared" si="6"/>
        <v>32810.36118</v>
      </c>
      <c r="I37" s="52">
        <f t="shared" si="6"/>
        <v>35569.34635</v>
      </c>
      <c r="J37" s="48" t="s">
        <v>271</v>
      </c>
    </row>
    <row r="38">
      <c r="A38" s="48" t="s">
        <v>353</v>
      </c>
      <c r="B38" s="48" t="s">
        <v>354</v>
      </c>
      <c r="C38" s="48" t="s">
        <v>18</v>
      </c>
      <c r="D38" s="66">
        <v>0.465</v>
      </c>
      <c r="E38" s="66">
        <f t="shared" ref="E38:I38" si="7">$C$7</f>
        <v>0.45</v>
      </c>
      <c r="F38" s="66">
        <f t="shared" si="7"/>
        <v>0.45</v>
      </c>
      <c r="G38" s="66">
        <f t="shared" si="7"/>
        <v>0.45</v>
      </c>
      <c r="H38" s="66">
        <f t="shared" si="7"/>
        <v>0.45</v>
      </c>
      <c r="I38" s="66">
        <f t="shared" si="7"/>
        <v>0.45</v>
      </c>
      <c r="J38" s="48" t="s">
        <v>273</v>
      </c>
    </row>
    <row r="39">
      <c r="A39" s="48" t="s">
        <v>35</v>
      </c>
      <c r="B39" s="48" t="s">
        <v>355</v>
      </c>
      <c r="C39" s="48" t="s">
        <v>18</v>
      </c>
      <c r="D39" s="52">
        <f t="shared" ref="D39:I39" si="8">D37*D38</f>
        <v>11067</v>
      </c>
      <c r="E39" s="52">
        <f t="shared" si="8"/>
        <v>11601.45</v>
      </c>
      <c r="F39" s="52">
        <f t="shared" si="8"/>
        <v>12569.841</v>
      </c>
      <c r="G39" s="52">
        <f t="shared" si="8"/>
        <v>13621.83179</v>
      </c>
      <c r="H39" s="52">
        <f t="shared" si="8"/>
        <v>14764.66253</v>
      </c>
      <c r="I39" s="52">
        <f t="shared" si="8"/>
        <v>16006.20586</v>
      </c>
      <c r="J39" s="48" t="s">
        <v>276</v>
      </c>
    </row>
    <row r="40">
      <c r="A40" s="48" t="s">
        <v>356</v>
      </c>
      <c r="B40" s="48" t="s">
        <v>275</v>
      </c>
      <c r="C40" s="48" t="s">
        <v>18</v>
      </c>
      <c r="D40" s="52">
        <f t="shared" ref="D40:I40" si="9">D39*$C$21</f>
        <v>1992.06</v>
      </c>
      <c r="E40" s="52">
        <f t="shared" si="9"/>
        <v>2088.261</v>
      </c>
      <c r="F40" s="52">
        <f t="shared" si="9"/>
        <v>2262.57138</v>
      </c>
      <c r="G40" s="52">
        <f t="shared" si="9"/>
        <v>2451.929721</v>
      </c>
      <c r="H40" s="52">
        <f t="shared" si="9"/>
        <v>2657.639255</v>
      </c>
      <c r="I40" s="52">
        <f t="shared" si="9"/>
        <v>2881.117054</v>
      </c>
      <c r="J40" s="48" t="s">
        <v>278</v>
      </c>
    </row>
    <row r="41">
      <c r="A41" s="48" t="s">
        <v>35</v>
      </c>
      <c r="B41" s="48" t="s">
        <v>357</v>
      </c>
      <c r="C41" s="48" t="s">
        <v>18</v>
      </c>
      <c r="D41" s="52">
        <f t="shared" ref="D41:I41" si="10">D39-D40</f>
        <v>9074.94</v>
      </c>
      <c r="E41" s="52">
        <f t="shared" si="10"/>
        <v>9513.189</v>
      </c>
      <c r="F41" s="52">
        <f t="shared" si="10"/>
        <v>10307.26962</v>
      </c>
      <c r="G41" s="52">
        <f t="shared" si="10"/>
        <v>11169.90206</v>
      </c>
      <c r="H41" s="52">
        <f t="shared" si="10"/>
        <v>12107.02327</v>
      </c>
      <c r="I41" s="52">
        <f t="shared" si="10"/>
        <v>13125.0888</v>
      </c>
      <c r="J41" s="48" t="s">
        <v>280</v>
      </c>
    </row>
    <row r="42">
      <c r="A42" s="48" t="s">
        <v>35</v>
      </c>
      <c r="B42" s="48" t="s">
        <v>358</v>
      </c>
      <c r="C42" s="48" t="s">
        <v>359</v>
      </c>
      <c r="D42" s="70">
        <f t="shared" ref="D42:I42" si="11">D41/$C$20</f>
        <v>20.2565625</v>
      </c>
      <c r="E42" s="70">
        <f t="shared" si="11"/>
        <v>21.23479688</v>
      </c>
      <c r="F42" s="70">
        <f t="shared" si="11"/>
        <v>23.00729826</v>
      </c>
      <c r="G42" s="70">
        <f t="shared" si="11"/>
        <v>24.93281711</v>
      </c>
      <c r="H42" s="70">
        <f t="shared" si="11"/>
        <v>27.02460552</v>
      </c>
      <c r="I42" s="70">
        <f t="shared" si="11"/>
        <v>29.29707322</v>
      </c>
      <c r="J42" s="48" t="s">
        <v>282</v>
      </c>
    </row>
    <row r="43">
      <c r="A43" s="48" t="s">
        <v>35</v>
      </c>
      <c r="B43" s="48" t="s">
        <v>360</v>
      </c>
      <c r="C43" s="48" t="s">
        <v>18</v>
      </c>
      <c r="D43" s="48">
        <v>0.0</v>
      </c>
      <c r="E43" s="48">
        <v>0.0</v>
      </c>
      <c r="F43" s="48">
        <v>0.0</v>
      </c>
      <c r="G43" s="48">
        <v>0.0</v>
      </c>
      <c r="H43" s="48">
        <v>0.0</v>
      </c>
      <c r="I43" s="48">
        <v>0.0</v>
      </c>
      <c r="J43" s="48" t="s">
        <v>283</v>
      </c>
    </row>
    <row r="44">
      <c r="A44" s="48" t="s">
        <v>35</v>
      </c>
      <c r="B44" s="48" t="s">
        <v>361</v>
      </c>
      <c r="C44" s="48" t="s">
        <v>18</v>
      </c>
      <c r="D44" s="52">
        <f t="shared" ref="D44:I44" si="12">D37*0.02</f>
        <v>476</v>
      </c>
      <c r="E44" s="52">
        <f t="shared" si="12"/>
        <v>515.62</v>
      </c>
      <c r="F44" s="52">
        <f t="shared" si="12"/>
        <v>558.6596</v>
      </c>
      <c r="G44" s="52">
        <f t="shared" si="12"/>
        <v>605.414746</v>
      </c>
      <c r="H44" s="52">
        <f t="shared" si="12"/>
        <v>656.2072236</v>
      </c>
      <c r="I44" s="52">
        <f t="shared" si="12"/>
        <v>711.386927</v>
      </c>
      <c r="J44" s="48" t="s">
        <v>285</v>
      </c>
    </row>
    <row r="45">
      <c r="A45" s="48" t="s">
        <v>35</v>
      </c>
      <c r="B45" s="48" t="s">
        <v>362</v>
      </c>
      <c r="C45" s="48" t="s">
        <v>18</v>
      </c>
      <c r="D45" s="52">
        <f t="shared" ref="D45:I45" si="13">D41+D43-D44</f>
        <v>8598.94</v>
      </c>
      <c r="E45" s="52">
        <f t="shared" si="13"/>
        <v>8997.569</v>
      </c>
      <c r="F45" s="52">
        <f t="shared" si="13"/>
        <v>9748.61002</v>
      </c>
      <c r="G45" s="52">
        <f t="shared" si="13"/>
        <v>10564.48732</v>
      </c>
      <c r="H45" s="52">
        <f t="shared" si="13"/>
        <v>11450.81605</v>
      </c>
      <c r="I45" s="52">
        <f t="shared" si="13"/>
        <v>12413.70188</v>
      </c>
      <c r="J45" s="48" t="s">
        <v>289</v>
      </c>
    </row>
    <row r="46">
      <c r="A46" s="48" t="s">
        <v>281</v>
      </c>
      <c r="B46" s="48" t="s">
        <v>114</v>
      </c>
      <c r="C46" s="48" t="s">
        <v>18</v>
      </c>
      <c r="D46" s="48">
        <v>0.0</v>
      </c>
      <c r="E46" s="48">
        <v>0.5</v>
      </c>
      <c r="F46" s="48">
        <v>1.5</v>
      </c>
      <c r="G46" s="48">
        <v>2.5</v>
      </c>
      <c r="H46" s="48">
        <v>3.5</v>
      </c>
      <c r="I46" s="48">
        <v>4.5</v>
      </c>
      <c r="J46" s="48" t="s">
        <v>292</v>
      </c>
    </row>
    <row r="47">
      <c r="A47" s="48" t="s">
        <v>35</v>
      </c>
      <c r="B47" s="48" t="s">
        <v>115</v>
      </c>
      <c r="C47" s="48" t="s">
        <v>18</v>
      </c>
      <c r="D47" s="48">
        <f>1</f>
        <v>1</v>
      </c>
      <c r="E47" s="66">
        <f t="shared" ref="E47:I47" si="14">1/(1+$C$23)^E46</f>
        <v>0.9513029883</v>
      </c>
      <c r="F47" s="66">
        <f t="shared" si="14"/>
        <v>0.8609076817</v>
      </c>
      <c r="G47" s="66">
        <f t="shared" si="14"/>
        <v>0.7791019744</v>
      </c>
      <c r="H47" s="66">
        <f t="shared" si="14"/>
        <v>0.7050696601</v>
      </c>
      <c r="I47" s="66">
        <f t="shared" si="14"/>
        <v>0.6380720906</v>
      </c>
      <c r="J47" s="48" t="s">
        <v>295</v>
      </c>
    </row>
    <row r="48">
      <c r="A48" s="48" t="s">
        <v>35</v>
      </c>
      <c r="B48" s="48" t="s">
        <v>363</v>
      </c>
      <c r="C48" s="48" t="s">
        <v>18</v>
      </c>
      <c r="D48" s="52">
        <f t="shared" ref="D48:I48" si="15">D45*D47</f>
        <v>8598.94</v>
      </c>
      <c r="E48" s="52">
        <f t="shared" si="15"/>
        <v>8559.414277</v>
      </c>
      <c r="F48" s="52">
        <f t="shared" si="15"/>
        <v>8392.653252</v>
      </c>
      <c r="G48" s="52">
        <f t="shared" si="15"/>
        <v>8230.812928</v>
      </c>
      <c r="H48" s="52">
        <f t="shared" si="15"/>
        <v>8073.622981</v>
      </c>
      <c r="I48" s="52">
        <f t="shared" si="15"/>
        <v>7920.836708</v>
      </c>
      <c r="J48" s="48" t="s">
        <v>298</v>
      </c>
    </row>
    <row r="49">
      <c r="A49" s="48" t="s">
        <v>286</v>
      </c>
      <c r="B49" s="48" t="s">
        <v>287</v>
      </c>
      <c r="C49" s="52">
        <f>SUM(E48:I48)</f>
        <v>41177.34015</v>
      </c>
      <c r="D49" s="48" t="s">
        <v>288</v>
      </c>
      <c r="E49" s="48" t="s">
        <v>35</v>
      </c>
      <c r="F49" s="48" t="s">
        <v>35</v>
      </c>
      <c r="G49" s="48" t="s">
        <v>35</v>
      </c>
      <c r="H49" s="48" t="s">
        <v>35</v>
      </c>
      <c r="I49" s="48" t="s">
        <v>301</v>
      </c>
      <c r="J49" s="48"/>
    </row>
    <row r="50">
      <c r="A50" s="48" t="s">
        <v>35</v>
      </c>
      <c r="B50" s="48" t="s">
        <v>290</v>
      </c>
      <c r="C50" s="52">
        <f>(I45*(1+$C$24))/($C$23-$C$24)</f>
        <v>159050.5553</v>
      </c>
      <c r="D50" s="48" t="s">
        <v>364</v>
      </c>
      <c r="E50" s="48" t="s">
        <v>35</v>
      </c>
      <c r="F50" s="48" t="s">
        <v>35</v>
      </c>
      <c r="G50" s="48" t="s">
        <v>35</v>
      </c>
      <c r="H50" s="48" t="s">
        <v>35</v>
      </c>
      <c r="I50" s="48" t="s">
        <v>304</v>
      </c>
      <c r="J50" s="48"/>
    </row>
    <row r="51">
      <c r="A51" s="48" t="s">
        <v>35</v>
      </c>
      <c r="B51" s="48" t="s">
        <v>293</v>
      </c>
      <c r="C51" s="52">
        <f>C50*I47</f>
        <v>101485.7203</v>
      </c>
      <c r="D51" s="48" t="s">
        <v>294</v>
      </c>
      <c r="E51" s="48" t="s">
        <v>35</v>
      </c>
      <c r="F51" s="48" t="s">
        <v>35</v>
      </c>
      <c r="G51" s="48" t="s">
        <v>35</v>
      </c>
      <c r="H51" s="48" t="s">
        <v>35</v>
      </c>
      <c r="I51" s="48" t="s">
        <v>307</v>
      </c>
      <c r="J51" s="48"/>
    </row>
    <row r="52">
      <c r="A52" s="48" t="s">
        <v>35</v>
      </c>
      <c r="B52" s="48" t="s">
        <v>365</v>
      </c>
      <c r="C52" s="48">
        <f>$C$22</f>
        <v>5200</v>
      </c>
      <c r="D52" s="48" t="s">
        <v>366</v>
      </c>
      <c r="E52" s="48" t="s">
        <v>35</v>
      </c>
      <c r="F52" s="48" t="s">
        <v>35</v>
      </c>
      <c r="G52" s="48" t="s">
        <v>35</v>
      </c>
      <c r="H52" s="48" t="s">
        <v>35</v>
      </c>
      <c r="I52" s="48" t="s">
        <v>367</v>
      </c>
      <c r="J52" s="48"/>
    </row>
    <row r="53">
      <c r="A53" s="48" t="s">
        <v>35</v>
      </c>
      <c r="B53" s="48" t="s">
        <v>299</v>
      </c>
      <c r="C53" s="52">
        <f>SUM(C49,C51,C52)</f>
        <v>147863.0605</v>
      </c>
      <c r="D53" s="48" t="s">
        <v>368</v>
      </c>
      <c r="E53" s="48" t="s">
        <v>35</v>
      </c>
      <c r="F53" s="48" t="s">
        <v>35</v>
      </c>
      <c r="G53" s="48" t="s">
        <v>35</v>
      </c>
      <c r="H53" s="48" t="s">
        <v>35</v>
      </c>
      <c r="I53" s="48" t="s">
        <v>369</v>
      </c>
      <c r="J53" s="48"/>
    </row>
    <row r="54">
      <c r="A54" s="48" t="s">
        <v>35</v>
      </c>
      <c r="B54" s="48" t="s">
        <v>302</v>
      </c>
      <c r="C54" s="48">
        <f>$C$20</f>
        <v>448</v>
      </c>
      <c r="D54" s="48" t="s">
        <v>370</v>
      </c>
      <c r="E54" s="48" t="s">
        <v>35</v>
      </c>
      <c r="F54" s="48" t="s">
        <v>35</v>
      </c>
      <c r="G54" s="48" t="s">
        <v>35</v>
      </c>
      <c r="H54" s="48" t="s">
        <v>35</v>
      </c>
      <c r="I54" s="48" t="s">
        <v>371</v>
      </c>
      <c r="J54" s="48"/>
    </row>
    <row r="55">
      <c r="A55" s="48" t="s">
        <v>35</v>
      </c>
      <c r="B55" s="67" t="s">
        <v>305</v>
      </c>
      <c r="C55" s="73">
        <f>C53/C54</f>
        <v>330.0514743</v>
      </c>
      <c r="D55" s="67" t="s">
        <v>306</v>
      </c>
      <c r="E55" s="48" t="s">
        <v>35</v>
      </c>
      <c r="F55" s="48" t="s">
        <v>35</v>
      </c>
      <c r="G55" s="48" t="s">
        <v>35</v>
      </c>
      <c r="H55" s="48" t="s">
        <v>35</v>
      </c>
      <c r="I55" s="48" t="s">
        <v>372</v>
      </c>
      <c r="J55" s="48"/>
    </row>
    <row r="59">
      <c r="A59" s="48" t="s">
        <v>373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0.38"/>
  </cols>
  <sheetData>
    <row r="1">
      <c r="A1" s="48" t="s">
        <v>159</v>
      </c>
      <c r="B1" s="48" t="s">
        <v>35</v>
      </c>
      <c r="C1" s="48" t="s">
        <v>35</v>
      </c>
      <c r="D1" s="48" t="s">
        <v>35</v>
      </c>
      <c r="E1" s="48" t="s">
        <v>35</v>
      </c>
      <c r="F1" s="48" t="s">
        <v>35</v>
      </c>
      <c r="G1" s="48" t="s">
        <v>35</v>
      </c>
      <c r="H1" s="48" t="s">
        <v>35</v>
      </c>
      <c r="I1" s="48"/>
      <c r="J1" s="48"/>
    </row>
    <row r="2">
      <c r="A2" s="48" t="s">
        <v>60</v>
      </c>
      <c r="B2" s="48" t="s">
        <v>161</v>
      </c>
      <c r="C2" s="48" t="s">
        <v>374</v>
      </c>
      <c r="D2" s="48" t="s">
        <v>375</v>
      </c>
      <c r="E2" s="48" t="s">
        <v>164</v>
      </c>
      <c r="F2" s="48" t="s">
        <v>165</v>
      </c>
      <c r="G2" s="48" t="s">
        <v>166</v>
      </c>
      <c r="H2" s="48" t="s">
        <v>208</v>
      </c>
      <c r="I2" s="48" t="s">
        <v>35</v>
      </c>
      <c r="J2" s="48"/>
    </row>
    <row r="3">
      <c r="A3" s="48" t="s">
        <v>168</v>
      </c>
      <c r="B3" s="48" t="s">
        <v>169</v>
      </c>
      <c r="C3" s="48">
        <v>1.0</v>
      </c>
      <c r="D3" s="48" t="s">
        <v>35</v>
      </c>
      <c r="E3" s="48" t="s">
        <v>35</v>
      </c>
      <c r="F3" s="48" t="s">
        <v>35</v>
      </c>
      <c r="G3" s="48" t="s">
        <v>35</v>
      </c>
      <c r="H3" s="48" t="s">
        <v>376</v>
      </c>
      <c r="I3" s="48" t="s">
        <v>35</v>
      </c>
      <c r="J3" s="48"/>
    </row>
    <row r="4">
      <c r="A4" s="48" t="s">
        <v>377</v>
      </c>
      <c r="B4" s="48" t="s">
        <v>310</v>
      </c>
      <c r="C4" s="66">
        <f t="shared" ref="C4:C10" si="1">CHOOSE($C$3,D4,E4,F4)</f>
        <v>0.3</v>
      </c>
      <c r="D4" s="66">
        <v>0.3</v>
      </c>
      <c r="E4" s="66">
        <v>0.35</v>
      </c>
      <c r="F4" s="66">
        <v>0.4</v>
      </c>
      <c r="G4" s="48" t="s">
        <v>378</v>
      </c>
      <c r="H4" s="48" t="s">
        <v>379</v>
      </c>
      <c r="I4" s="48" t="s">
        <v>35</v>
      </c>
      <c r="J4" s="48"/>
    </row>
    <row r="5">
      <c r="A5" s="48" t="s">
        <v>380</v>
      </c>
      <c r="B5" s="48" t="s">
        <v>310</v>
      </c>
      <c r="C5" s="66">
        <f t="shared" si="1"/>
        <v>-0.05</v>
      </c>
      <c r="D5" s="66">
        <v>-0.05</v>
      </c>
      <c r="E5" s="66">
        <v>-0.03</v>
      </c>
      <c r="F5" s="66">
        <v>-0.02</v>
      </c>
      <c r="G5" s="48" t="s">
        <v>381</v>
      </c>
      <c r="H5" s="48" t="s">
        <v>382</v>
      </c>
      <c r="I5" s="48" t="s">
        <v>35</v>
      </c>
      <c r="J5" s="48"/>
    </row>
    <row r="6">
      <c r="A6" s="48" t="s">
        <v>314</v>
      </c>
      <c r="B6" s="48" t="s">
        <v>310</v>
      </c>
      <c r="C6" s="66">
        <f t="shared" si="1"/>
        <v>0</v>
      </c>
      <c r="D6" s="66">
        <v>0.0</v>
      </c>
      <c r="E6" s="66">
        <v>0.01</v>
      </c>
      <c r="F6" s="66">
        <v>0.02</v>
      </c>
      <c r="G6" s="48" t="s">
        <v>383</v>
      </c>
      <c r="H6" s="48" t="s">
        <v>384</v>
      </c>
      <c r="I6" s="48" t="s">
        <v>35</v>
      </c>
      <c r="J6" s="48"/>
    </row>
    <row r="7">
      <c r="A7" s="48" t="s">
        <v>316</v>
      </c>
      <c r="B7" s="48" t="s">
        <v>317</v>
      </c>
      <c r="C7" s="66">
        <f t="shared" si="1"/>
        <v>0.4</v>
      </c>
      <c r="D7" s="66">
        <v>0.4</v>
      </c>
      <c r="E7" s="66">
        <v>0.44</v>
      </c>
      <c r="F7" s="66">
        <v>0.45</v>
      </c>
      <c r="G7" s="48" t="s">
        <v>385</v>
      </c>
      <c r="H7" s="48" t="s">
        <v>386</v>
      </c>
      <c r="I7" s="48" t="s">
        <v>35</v>
      </c>
      <c r="J7" s="48"/>
    </row>
    <row r="8">
      <c r="A8" s="48" t="s">
        <v>387</v>
      </c>
      <c r="B8" s="48" t="s">
        <v>388</v>
      </c>
      <c r="C8" s="66">
        <f t="shared" si="1"/>
        <v>0.8</v>
      </c>
      <c r="D8" s="66">
        <v>0.8</v>
      </c>
      <c r="E8" s="66">
        <v>0.7</v>
      </c>
      <c r="F8" s="66">
        <v>0.6</v>
      </c>
      <c r="G8" s="48" t="s">
        <v>389</v>
      </c>
      <c r="H8" s="48" t="s">
        <v>390</v>
      </c>
      <c r="I8" s="48" t="s">
        <v>35</v>
      </c>
      <c r="J8" s="48"/>
    </row>
    <row r="9">
      <c r="A9" s="48" t="s">
        <v>391</v>
      </c>
      <c r="B9" s="48" t="s">
        <v>392</v>
      </c>
      <c r="C9" s="66">
        <f t="shared" si="1"/>
        <v>0.1</v>
      </c>
      <c r="D9" s="66">
        <v>0.1</v>
      </c>
      <c r="E9" s="66">
        <v>0.09</v>
      </c>
      <c r="F9" s="66">
        <v>0.08</v>
      </c>
      <c r="G9" s="48" t="s">
        <v>393</v>
      </c>
      <c r="H9" s="48" t="s">
        <v>394</v>
      </c>
      <c r="I9" s="48" t="s">
        <v>35</v>
      </c>
      <c r="J9" s="48"/>
    </row>
    <row r="10">
      <c r="A10" s="48" t="s">
        <v>395</v>
      </c>
      <c r="B10" s="48" t="s">
        <v>396</v>
      </c>
      <c r="C10" s="66">
        <f t="shared" si="1"/>
        <v>0.03</v>
      </c>
      <c r="D10" s="66">
        <v>0.03</v>
      </c>
      <c r="E10" s="66">
        <v>0.035</v>
      </c>
      <c r="F10" s="66">
        <v>0.04</v>
      </c>
      <c r="G10" s="48" t="s">
        <v>397</v>
      </c>
      <c r="H10" s="48" t="s">
        <v>398</v>
      </c>
      <c r="I10" s="48" t="s">
        <v>35</v>
      </c>
      <c r="J10" s="48"/>
    </row>
    <row r="11">
      <c r="A11" s="48" t="s">
        <v>35</v>
      </c>
      <c r="B11" s="48" t="s">
        <v>35</v>
      </c>
      <c r="C11" s="48" t="s">
        <v>35</v>
      </c>
      <c r="D11" s="48" t="s">
        <v>35</v>
      </c>
      <c r="E11" s="48" t="s">
        <v>35</v>
      </c>
      <c r="F11" s="48" t="s">
        <v>35</v>
      </c>
      <c r="G11" s="48" t="s">
        <v>35</v>
      </c>
      <c r="H11" s="48" t="s">
        <v>35</v>
      </c>
      <c r="I11" s="48"/>
      <c r="J11" s="48"/>
    </row>
    <row r="12">
      <c r="A12" s="48" t="s">
        <v>35</v>
      </c>
      <c r="B12" s="48" t="s">
        <v>35</v>
      </c>
      <c r="C12" s="48" t="s">
        <v>35</v>
      </c>
      <c r="D12" s="48" t="s">
        <v>35</v>
      </c>
      <c r="E12" s="48" t="s">
        <v>35</v>
      </c>
      <c r="F12" s="48" t="s">
        <v>35</v>
      </c>
      <c r="G12" s="48" t="s">
        <v>35</v>
      </c>
      <c r="H12" s="48" t="s">
        <v>35</v>
      </c>
      <c r="I12" s="48"/>
      <c r="J12" s="48"/>
    </row>
    <row r="13">
      <c r="A13" s="48" t="s">
        <v>319</v>
      </c>
      <c r="B13" s="48" t="s">
        <v>35</v>
      </c>
      <c r="C13" s="48" t="s">
        <v>35</v>
      </c>
      <c r="D13" s="48" t="s">
        <v>35</v>
      </c>
      <c r="E13" s="48" t="s">
        <v>35</v>
      </c>
      <c r="F13" s="48" t="s">
        <v>35</v>
      </c>
      <c r="G13" s="48" t="s">
        <v>35</v>
      </c>
      <c r="H13" s="48" t="s">
        <v>35</v>
      </c>
      <c r="I13" s="48"/>
      <c r="J13" s="48"/>
    </row>
    <row r="14">
      <c r="A14" s="48" t="s">
        <v>60</v>
      </c>
      <c r="B14" s="48" t="s">
        <v>184</v>
      </c>
      <c r="C14" s="48" t="s">
        <v>185</v>
      </c>
      <c r="D14" s="48" t="s">
        <v>320</v>
      </c>
      <c r="E14" s="48" t="s">
        <v>399</v>
      </c>
      <c r="F14" s="48" t="s">
        <v>81</v>
      </c>
      <c r="G14" s="48" t="s">
        <v>82</v>
      </c>
      <c r="H14" s="48" t="s">
        <v>83</v>
      </c>
      <c r="I14" s="48" t="s">
        <v>188</v>
      </c>
      <c r="J14" s="48" t="s">
        <v>35</v>
      </c>
    </row>
    <row r="15">
      <c r="A15" s="48" t="s">
        <v>400</v>
      </c>
      <c r="B15" s="48" t="s">
        <v>401</v>
      </c>
      <c r="C15" s="66">
        <f>$C$4</f>
        <v>0.3</v>
      </c>
      <c r="D15" s="52">
        <v>41500.0</v>
      </c>
      <c r="E15" s="52">
        <f t="shared" ref="E15:I15" si="2">D15*(1+$C15)</f>
        <v>53950</v>
      </c>
      <c r="F15" s="52">
        <f t="shared" si="2"/>
        <v>70135</v>
      </c>
      <c r="G15" s="52">
        <f t="shared" si="2"/>
        <v>91175.5</v>
      </c>
      <c r="H15" s="52">
        <f t="shared" si="2"/>
        <v>118528.15</v>
      </c>
      <c r="I15" s="52">
        <f t="shared" si="2"/>
        <v>154086.595</v>
      </c>
      <c r="J15" s="48" t="s">
        <v>35</v>
      </c>
    </row>
    <row r="16">
      <c r="A16" s="48" t="s">
        <v>402</v>
      </c>
      <c r="B16" s="48" t="s">
        <v>403</v>
      </c>
      <c r="C16" s="66">
        <f>$C$5</f>
        <v>-0.05</v>
      </c>
      <c r="D16" s="52">
        <v>5000.0</v>
      </c>
      <c r="E16" s="52">
        <f t="shared" ref="E16:I16" si="3">D16*(1+$C16)</f>
        <v>4750</v>
      </c>
      <c r="F16" s="52">
        <f t="shared" si="3"/>
        <v>4512.5</v>
      </c>
      <c r="G16" s="52">
        <f t="shared" si="3"/>
        <v>4286.875</v>
      </c>
      <c r="H16" s="52">
        <f t="shared" si="3"/>
        <v>4072.53125</v>
      </c>
      <c r="I16" s="52">
        <f t="shared" si="3"/>
        <v>3868.904688</v>
      </c>
      <c r="J16" s="48" t="s">
        <v>35</v>
      </c>
    </row>
    <row r="17">
      <c r="A17" s="48" t="s">
        <v>404</v>
      </c>
      <c r="B17" s="48" t="s">
        <v>405</v>
      </c>
      <c r="C17" s="66">
        <f>$C$6</f>
        <v>0</v>
      </c>
      <c r="D17" s="52">
        <v>5500.0</v>
      </c>
      <c r="E17" s="52">
        <f t="shared" ref="E17:I17" si="4">D17*(1+$C17)</f>
        <v>5500</v>
      </c>
      <c r="F17" s="52">
        <f t="shared" si="4"/>
        <v>5500</v>
      </c>
      <c r="G17" s="52">
        <f t="shared" si="4"/>
        <v>5500</v>
      </c>
      <c r="H17" s="52">
        <f t="shared" si="4"/>
        <v>5500</v>
      </c>
      <c r="I17" s="52">
        <f t="shared" si="4"/>
        <v>5500</v>
      </c>
      <c r="J17" s="48" t="s">
        <v>35</v>
      </c>
    </row>
    <row r="18">
      <c r="A18" s="48" t="s">
        <v>327</v>
      </c>
      <c r="B18" s="48" t="s">
        <v>98</v>
      </c>
      <c r="C18" s="48" t="s">
        <v>18</v>
      </c>
      <c r="D18" s="52">
        <f t="shared" ref="D18:I18" si="5">SUM(D15:D17)</f>
        <v>52000</v>
      </c>
      <c r="E18" s="52">
        <f t="shared" si="5"/>
        <v>64200</v>
      </c>
      <c r="F18" s="52">
        <f t="shared" si="5"/>
        <v>80147.5</v>
      </c>
      <c r="G18" s="52">
        <f t="shared" si="5"/>
        <v>100962.375</v>
      </c>
      <c r="H18" s="52">
        <f t="shared" si="5"/>
        <v>128100.6813</v>
      </c>
      <c r="I18" s="52">
        <f t="shared" si="5"/>
        <v>163455.4997</v>
      </c>
      <c r="J18" s="48" t="s">
        <v>35</v>
      </c>
    </row>
    <row r="19">
      <c r="A19" s="48" t="s">
        <v>35</v>
      </c>
      <c r="B19" s="48" t="s">
        <v>35</v>
      </c>
      <c r="C19" s="48" t="s">
        <v>35</v>
      </c>
      <c r="D19" s="48" t="s">
        <v>35</v>
      </c>
      <c r="E19" s="48" t="s">
        <v>35</v>
      </c>
      <c r="F19" s="48" t="s">
        <v>35</v>
      </c>
      <c r="G19" s="48" t="s">
        <v>35</v>
      </c>
      <c r="H19" s="48" t="s">
        <v>35</v>
      </c>
      <c r="I19" s="48"/>
      <c r="J19" s="48"/>
    </row>
    <row r="20">
      <c r="A20" s="48" t="s">
        <v>35</v>
      </c>
      <c r="B20" s="48" t="s">
        <v>35</v>
      </c>
      <c r="C20" s="48" t="s">
        <v>35</v>
      </c>
      <c r="D20" s="48" t="s">
        <v>35</v>
      </c>
      <c r="E20" s="48" t="s">
        <v>35</v>
      </c>
      <c r="F20" s="48" t="s">
        <v>35</v>
      </c>
      <c r="G20" s="48" t="s">
        <v>35</v>
      </c>
      <c r="H20" s="48" t="s">
        <v>35</v>
      </c>
      <c r="I20" s="48"/>
      <c r="J20" s="48"/>
    </row>
    <row r="21">
      <c r="A21" s="48" t="s">
        <v>406</v>
      </c>
      <c r="B21" s="48" t="s">
        <v>35</v>
      </c>
      <c r="C21" s="48" t="s">
        <v>35</v>
      </c>
      <c r="D21" s="48" t="s">
        <v>35</v>
      </c>
      <c r="E21" s="48" t="s">
        <v>35</v>
      </c>
      <c r="F21" s="48" t="s">
        <v>35</v>
      </c>
      <c r="G21" s="48" t="s">
        <v>35</v>
      </c>
      <c r="H21" s="48" t="s">
        <v>35</v>
      </c>
      <c r="I21" s="48"/>
      <c r="J21" s="48"/>
    </row>
    <row r="22">
      <c r="A22" s="48" t="s">
        <v>60</v>
      </c>
      <c r="B22" s="48" t="s">
        <v>161</v>
      </c>
      <c r="C22" s="48" t="s">
        <v>207</v>
      </c>
      <c r="D22" s="48" t="s">
        <v>208</v>
      </c>
      <c r="E22" s="48" t="s">
        <v>407</v>
      </c>
      <c r="F22" s="48" t="s">
        <v>35</v>
      </c>
      <c r="G22" s="48" t="s">
        <v>408</v>
      </c>
      <c r="H22" s="48" t="s">
        <v>35</v>
      </c>
      <c r="I22" s="48"/>
      <c r="J22" s="48"/>
    </row>
    <row r="23">
      <c r="A23" s="74" t="s">
        <v>328</v>
      </c>
      <c r="B23" s="74" t="s">
        <v>409</v>
      </c>
      <c r="C23" s="74">
        <v>142.0</v>
      </c>
      <c r="D23" s="74" t="s">
        <v>410</v>
      </c>
      <c r="E23" s="48" t="s">
        <v>411</v>
      </c>
      <c r="F23" s="48" t="s">
        <v>35</v>
      </c>
      <c r="G23" s="48" t="s">
        <v>35</v>
      </c>
      <c r="H23" s="48"/>
      <c r="I23" s="48"/>
      <c r="J23" s="48"/>
    </row>
    <row r="24">
      <c r="A24" s="48" t="s">
        <v>412</v>
      </c>
      <c r="B24" s="48" t="s">
        <v>413</v>
      </c>
      <c r="C24" s="48">
        <v>2760.0</v>
      </c>
      <c r="D24" s="48" t="s">
        <v>414</v>
      </c>
      <c r="E24" s="48" t="s">
        <v>415</v>
      </c>
      <c r="F24" s="48" t="s">
        <v>35</v>
      </c>
      <c r="G24" s="48" t="s">
        <v>35</v>
      </c>
      <c r="H24" s="48"/>
      <c r="I24" s="48"/>
      <c r="J24" s="48"/>
    </row>
    <row r="25">
      <c r="A25" s="48" t="s">
        <v>416</v>
      </c>
      <c r="B25" s="48" t="s">
        <v>417</v>
      </c>
      <c r="C25" s="48">
        <v>20000.0</v>
      </c>
      <c r="D25" s="48" t="s">
        <v>418</v>
      </c>
      <c r="E25" s="48" t="s">
        <v>419</v>
      </c>
      <c r="F25" s="48" t="s">
        <v>420</v>
      </c>
      <c r="G25" s="48" t="s">
        <v>35</v>
      </c>
      <c r="H25" s="48"/>
      <c r="I25" s="48"/>
      <c r="J25" s="48"/>
    </row>
    <row r="26">
      <c r="A26" s="48" t="s">
        <v>421</v>
      </c>
      <c r="B26" s="48" t="s">
        <v>422</v>
      </c>
      <c r="C26" s="52">
        <f>C25/C23</f>
        <v>140.8450704</v>
      </c>
      <c r="D26" s="48" t="s">
        <v>423</v>
      </c>
      <c r="E26" s="48" t="s">
        <v>424</v>
      </c>
      <c r="F26" s="48" t="s">
        <v>35</v>
      </c>
      <c r="G26" s="48" t="s">
        <v>35</v>
      </c>
      <c r="H26" s="48"/>
      <c r="I26" s="48"/>
      <c r="J26" s="48"/>
    </row>
    <row r="27">
      <c r="A27" s="48" t="s">
        <v>425</v>
      </c>
      <c r="B27" s="48" t="s">
        <v>426</v>
      </c>
      <c r="C27" s="52">
        <f>C24+C26</f>
        <v>2900.84507</v>
      </c>
      <c r="D27" s="48" t="s">
        <v>427</v>
      </c>
      <c r="E27" s="48" t="s">
        <v>428</v>
      </c>
      <c r="F27" s="48" t="s">
        <v>429</v>
      </c>
      <c r="G27" s="48" t="s">
        <v>35</v>
      </c>
      <c r="H27" s="48"/>
      <c r="I27" s="48"/>
      <c r="J27" s="48"/>
    </row>
    <row r="28">
      <c r="A28" s="48" t="s">
        <v>430</v>
      </c>
      <c r="B28" s="48" t="s">
        <v>431</v>
      </c>
      <c r="C28" s="48">
        <v>-88000.0</v>
      </c>
      <c r="D28" s="48" t="s">
        <v>432</v>
      </c>
      <c r="E28" s="48" t="s">
        <v>433</v>
      </c>
      <c r="F28" s="48" t="s">
        <v>35</v>
      </c>
      <c r="G28" s="48" t="s">
        <v>35</v>
      </c>
      <c r="H28" s="48"/>
      <c r="I28" s="48"/>
      <c r="J28" s="48"/>
    </row>
    <row r="29">
      <c r="A29" s="48" t="s">
        <v>434</v>
      </c>
      <c r="B29" s="48" t="s">
        <v>435</v>
      </c>
      <c r="C29" s="48">
        <v>30000.0</v>
      </c>
      <c r="D29" s="48" t="s">
        <v>418</v>
      </c>
      <c r="E29" s="48" t="s">
        <v>436</v>
      </c>
      <c r="F29" s="48" t="s">
        <v>437</v>
      </c>
      <c r="G29" s="48" t="s">
        <v>35</v>
      </c>
      <c r="H29" s="48"/>
      <c r="I29" s="48"/>
      <c r="J29" s="48"/>
    </row>
    <row r="30">
      <c r="A30" s="48" t="s">
        <v>438</v>
      </c>
      <c r="B30" s="48" t="s">
        <v>439</v>
      </c>
      <c r="C30" s="48">
        <f>C28-C29</f>
        <v>-118000</v>
      </c>
      <c r="D30" s="48" t="s">
        <v>440</v>
      </c>
      <c r="E30" s="48" t="s">
        <v>441</v>
      </c>
      <c r="F30" s="48" t="s">
        <v>35</v>
      </c>
      <c r="G30" s="48" t="s">
        <v>35</v>
      </c>
      <c r="H30" s="48"/>
      <c r="I30" s="48"/>
      <c r="J30" s="48"/>
    </row>
    <row r="31">
      <c r="A31" s="48" t="s">
        <v>214</v>
      </c>
      <c r="B31" s="48" t="s">
        <v>215</v>
      </c>
      <c r="C31" s="66">
        <v>0.19</v>
      </c>
      <c r="D31" s="48" t="s">
        <v>332</v>
      </c>
      <c r="E31" s="48" t="s">
        <v>442</v>
      </c>
      <c r="F31" s="48" t="s">
        <v>35</v>
      </c>
      <c r="G31" s="48" t="s">
        <v>35</v>
      </c>
      <c r="H31" s="48"/>
      <c r="I31" s="48"/>
      <c r="J31" s="48"/>
    </row>
    <row r="32">
      <c r="A32" s="48" t="s">
        <v>222</v>
      </c>
      <c r="B32" s="48" t="s">
        <v>223</v>
      </c>
      <c r="C32" s="66">
        <f>$C$9</f>
        <v>0.1</v>
      </c>
      <c r="D32" s="48" t="s">
        <v>443</v>
      </c>
      <c r="E32" s="48" t="s">
        <v>444</v>
      </c>
      <c r="F32" s="48" t="s">
        <v>35</v>
      </c>
      <c r="G32" s="48" t="s">
        <v>35</v>
      </c>
      <c r="H32" s="48"/>
      <c r="I32" s="48"/>
      <c r="J32" s="48"/>
    </row>
    <row r="33">
      <c r="A33" s="48" t="s">
        <v>226</v>
      </c>
      <c r="B33" s="48" t="s">
        <v>227</v>
      </c>
      <c r="C33" s="66">
        <f>$C$10</f>
        <v>0.03</v>
      </c>
      <c r="D33" s="48" t="s">
        <v>445</v>
      </c>
      <c r="E33" s="48" t="s">
        <v>446</v>
      </c>
      <c r="F33" s="48" t="s">
        <v>35</v>
      </c>
      <c r="G33" s="48" t="s">
        <v>35</v>
      </c>
      <c r="H33" s="48"/>
      <c r="I33" s="48"/>
      <c r="J33" s="48"/>
    </row>
    <row r="34">
      <c r="A34" s="48" t="s">
        <v>447</v>
      </c>
      <c r="B34" s="48" t="s">
        <v>448</v>
      </c>
      <c r="C34" s="48">
        <v>5500.0</v>
      </c>
      <c r="D34" s="48" t="s">
        <v>449</v>
      </c>
      <c r="E34" s="48" t="s">
        <v>450</v>
      </c>
      <c r="F34" s="48" t="s">
        <v>35</v>
      </c>
      <c r="G34" s="48" t="s">
        <v>35</v>
      </c>
      <c r="H34" s="48"/>
      <c r="I34" s="48"/>
      <c r="J34" s="48"/>
    </row>
    <row r="35">
      <c r="A35" s="48" t="s">
        <v>35</v>
      </c>
      <c r="B35" s="48" t="s">
        <v>35</v>
      </c>
      <c r="C35" s="48" t="s">
        <v>35</v>
      </c>
      <c r="D35" s="48" t="s">
        <v>35</v>
      </c>
      <c r="E35" s="48" t="s">
        <v>35</v>
      </c>
      <c r="F35" s="48" t="s">
        <v>35</v>
      </c>
      <c r="G35" s="48" t="s">
        <v>35</v>
      </c>
      <c r="H35" s="48" t="s">
        <v>35</v>
      </c>
      <c r="I35" s="48"/>
      <c r="J35" s="48"/>
    </row>
    <row r="36">
      <c r="A36" s="48" t="s">
        <v>231</v>
      </c>
      <c r="B36" s="48" t="s">
        <v>35</v>
      </c>
      <c r="C36" s="48" t="s">
        <v>35</v>
      </c>
      <c r="D36" s="48" t="s">
        <v>35</v>
      </c>
      <c r="E36" s="48" t="s">
        <v>35</v>
      </c>
      <c r="F36" s="48" t="s">
        <v>35</v>
      </c>
      <c r="G36" s="48" t="s">
        <v>35</v>
      </c>
      <c r="H36" s="48" t="s">
        <v>35</v>
      </c>
      <c r="I36" s="48"/>
      <c r="J36" s="48"/>
    </row>
    <row r="37">
      <c r="A37" s="48" t="s">
        <v>60</v>
      </c>
      <c r="B37" s="48" t="s">
        <v>161</v>
      </c>
      <c r="C37" s="48" t="s">
        <v>233</v>
      </c>
      <c r="D37" s="48" t="s">
        <v>234</v>
      </c>
      <c r="E37" s="48" t="s">
        <v>451</v>
      </c>
      <c r="F37" s="48" t="s">
        <v>35</v>
      </c>
      <c r="G37" s="48" t="s">
        <v>35</v>
      </c>
      <c r="H37" s="48"/>
      <c r="I37" s="48"/>
      <c r="J37" s="48"/>
    </row>
    <row r="38">
      <c r="A38" s="48" t="s">
        <v>236</v>
      </c>
      <c r="B38" s="48" t="s">
        <v>237</v>
      </c>
      <c r="C38" s="48" t="str">
        <f>CHOOSE($C$3,"All-In (1)","Base (2)","Bull (3)")</f>
        <v>All-In (1)</v>
      </c>
      <c r="D38" s="48" t="s">
        <v>238</v>
      </c>
      <c r="E38" s="48" t="s">
        <v>452</v>
      </c>
      <c r="F38" s="48" t="s">
        <v>35</v>
      </c>
      <c r="G38" s="48" t="s">
        <v>35</v>
      </c>
      <c r="H38" s="48"/>
      <c r="I38" s="48"/>
      <c r="J38" s="48"/>
    </row>
    <row r="39">
      <c r="A39" s="74" t="s">
        <v>339</v>
      </c>
      <c r="B39" s="74" t="s">
        <v>340</v>
      </c>
      <c r="C39" s="75">
        <f>C65</f>
        <v>130.6632172</v>
      </c>
      <c r="D39" s="74" t="s">
        <v>248</v>
      </c>
      <c r="E39" s="48" t="s">
        <v>453</v>
      </c>
      <c r="F39" s="48" t="s">
        <v>454</v>
      </c>
      <c r="G39" s="48" t="s">
        <v>35</v>
      </c>
      <c r="H39" s="48"/>
      <c r="I39" s="48"/>
      <c r="J39" s="48"/>
    </row>
    <row r="40">
      <c r="A40" s="48" t="s">
        <v>341</v>
      </c>
      <c r="B40" s="48" t="s">
        <v>342</v>
      </c>
      <c r="C40" s="66">
        <f>(C39/C23)-1</f>
        <v>-0.07983649825</v>
      </c>
      <c r="D40" s="48" t="s">
        <v>343</v>
      </c>
      <c r="E40" s="48" t="s">
        <v>455</v>
      </c>
      <c r="F40" s="48" t="s">
        <v>456</v>
      </c>
      <c r="G40" s="48" t="s">
        <v>35</v>
      </c>
      <c r="H40" s="48"/>
      <c r="I40" s="48"/>
      <c r="J40" s="48"/>
    </row>
    <row r="41">
      <c r="A41" s="48" t="s">
        <v>344</v>
      </c>
      <c r="B41" s="48" t="s">
        <v>345</v>
      </c>
      <c r="C41" s="76">
        <f>E52</f>
        <v>7.170600117</v>
      </c>
      <c r="D41" s="48" t="s">
        <v>346</v>
      </c>
      <c r="E41" s="48" t="s">
        <v>457</v>
      </c>
      <c r="F41" s="48" t="s">
        <v>458</v>
      </c>
      <c r="G41" s="48" t="s">
        <v>35</v>
      </c>
      <c r="H41" s="48"/>
      <c r="I41" s="48"/>
      <c r="J41" s="48"/>
    </row>
    <row r="42">
      <c r="A42" s="48" t="s">
        <v>347</v>
      </c>
      <c r="B42" s="48" t="s">
        <v>244</v>
      </c>
      <c r="C42" s="70">
        <f>C23/E52</f>
        <v>19.8030845</v>
      </c>
      <c r="D42" s="48" t="s">
        <v>348</v>
      </c>
      <c r="E42" s="48" t="s">
        <v>459</v>
      </c>
      <c r="F42" s="48" t="s">
        <v>460</v>
      </c>
      <c r="G42" s="48" t="s">
        <v>35</v>
      </c>
      <c r="H42" s="48"/>
      <c r="I42" s="48"/>
      <c r="J42" s="48"/>
    </row>
    <row r="43">
      <c r="A43" s="48" t="s">
        <v>251</v>
      </c>
      <c r="B43" s="48" t="s">
        <v>349</v>
      </c>
      <c r="C43" s="48" t="str">
        <f>IF(C39&gt;0.15,"저평가 (Buy)",IF(C39&lt;-0.15,"고평가 (Sell)","적정 (Hold)"))</f>
        <v>저평가 (Buy)</v>
      </c>
      <c r="D43" s="48" t="s">
        <v>350</v>
      </c>
      <c r="E43" s="48" t="s">
        <v>461</v>
      </c>
      <c r="F43" s="48" t="s">
        <v>35</v>
      </c>
      <c r="G43" s="48" t="s">
        <v>35</v>
      </c>
      <c r="H43" s="48"/>
      <c r="I43" s="48"/>
      <c r="J43" s="48"/>
    </row>
    <row r="44">
      <c r="A44" s="48" t="s">
        <v>35</v>
      </c>
      <c r="B44" s="48" t="s">
        <v>35</v>
      </c>
      <c r="C44" s="48" t="s">
        <v>35</v>
      </c>
      <c r="D44" s="48" t="s">
        <v>35</v>
      </c>
      <c r="E44" s="48" t="s">
        <v>35</v>
      </c>
      <c r="F44" s="48" t="s">
        <v>35</v>
      </c>
      <c r="G44" s="48" t="s">
        <v>35</v>
      </c>
      <c r="H44" s="48" t="s">
        <v>35</v>
      </c>
      <c r="I44" s="48"/>
      <c r="J44" s="48"/>
    </row>
    <row r="45">
      <c r="A45" s="48" t="s">
        <v>256</v>
      </c>
      <c r="B45" s="48" t="s">
        <v>35</v>
      </c>
      <c r="C45" s="48" t="s">
        <v>35</v>
      </c>
      <c r="D45" s="48" t="s">
        <v>35</v>
      </c>
      <c r="E45" s="48" t="s">
        <v>35</v>
      </c>
      <c r="F45" s="48" t="s">
        <v>35</v>
      </c>
      <c r="G45" s="48" t="s">
        <v>35</v>
      </c>
      <c r="H45" s="48" t="s">
        <v>35</v>
      </c>
      <c r="I45" s="48"/>
      <c r="J45" s="48"/>
    </row>
    <row r="46">
      <c r="A46" s="48" t="s">
        <v>258</v>
      </c>
      <c r="B46" s="48" t="s">
        <v>61</v>
      </c>
      <c r="C46" s="48" t="s">
        <v>351</v>
      </c>
      <c r="D46" s="48" t="s">
        <v>352</v>
      </c>
      <c r="E46" s="48" t="s">
        <v>80</v>
      </c>
      <c r="F46" s="48" t="s">
        <v>81</v>
      </c>
      <c r="G46" s="48" t="s">
        <v>82</v>
      </c>
      <c r="H46" s="48" t="s">
        <v>83</v>
      </c>
      <c r="I46" s="48" t="s">
        <v>188</v>
      </c>
      <c r="J46" s="48" t="s">
        <v>292</v>
      </c>
    </row>
    <row r="47">
      <c r="A47" s="48" t="s">
        <v>262</v>
      </c>
      <c r="B47" s="48" t="s">
        <v>98</v>
      </c>
      <c r="C47" s="48" t="s">
        <v>18</v>
      </c>
      <c r="D47" s="52">
        <f t="shared" ref="D47:I47" si="6">D18</f>
        <v>52000</v>
      </c>
      <c r="E47" s="52">
        <f t="shared" si="6"/>
        <v>64200</v>
      </c>
      <c r="F47" s="52">
        <f t="shared" si="6"/>
        <v>80147.5</v>
      </c>
      <c r="G47" s="52">
        <f t="shared" si="6"/>
        <v>100962.375</v>
      </c>
      <c r="H47" s="52">
        <f t="shared" si="6"/>
        <v>128100.6813</v>
      </c>
      <c r="I47" s="52">
        <f t="shared" si="6"/>
        <v>163455.4997</v>
      </c>
      <c r="J47" s="48" t="s">
        <v>295</v>
      </c>
    </row>
    <row r="48">
      <c r="A48" s="48" t="s">
        <v>353</v>
      </c>
      <c r="B48" s="48" t="s">
        <v>354</v>
      </c>
      <c r="C48" s="48" t="s">
        <v>18</v>
      </c>
      <c r="D48" s="66">
        <f t="shared" ref="D48:I48" si="7">$C$7</f>
        <v>0.4</v>
      </c>
      <c r="E48" s="66">
        <f t="shared" si="7"/>
        <v>0.4</v>
      </c>
      <c r="F48" s="66">
        <f t="shared" si="7"/>
        <v>0.4</v>
      </c>
      <c r="G48" s="66">
        <f t="shared" si="7"/>
        <v>0.4</v>
      </c>
      <c r="H48" s="66">
        <f t="shared" si="7"/>
        <v>0.4</v>
      </c>
      <c r="I48" s="66">
        <f t="shared" si="7"/>
        <v>0.4</v>
      </c>
      <c r="J48" s="48" t="s">
        <v>298</v>
      </c>
    </row>
    <row r="49">
      <c r="A49" s="48" t="s">
        <v>35</v>
      </c>
      <c r="B49" s="48" t="s">
        <v>355</v>
      </c>
      <c r="C49" s="48" t="s">
        <v>18</v>
      </c>
      <c r="D49" s="52">
        <f>D47*D48</f>
        <v>20800</v>
      </c>
      <c r="E49" s="52">
        <f>E47*D48</f>
        <v>25680</v>
      </c>
      <c r="F49" s="52">
        <f>F47*D48</f>
        <v>32059</v>
      </c>
      <c r="G49" s="52">
        <f>G47*D48</f>
        <v>40384.95</v>
      </c>
      <c r="H49" s="52">
        <f>H47*D48</f>
        <v>51240.2725</v>
      </c>
      <c r="I49" s="52">
        <f>I47*D48</f>
        <v>65382.19988</v>
      </c>
      <c r="J49" s="48" t="s">
        <v>301</v>
      </c>
    </row>
    <row r="50">
      <c r="A50" s="48" t="s">
        <v>356</v>
      </c>
      <c r="B50" s="48" t="s">
        <v>275</v>
      </c>
      <c r="C50" s="48" t="s">
        <v>18</v>
      </c>
      <c r="D50" s="52">
        <f t="shared" ref="D50:I50" si="8">D49*$C$31</f>
        <v>3952</v>
      </c>
      <c r="E50" s="52">
        <f t="shared" si="8"/>
        <v>4879.2</v>
      </c>
      <c r="F50" s="52">
        <f t="shared" si="8"/>
        <v>6091.21</v>
      </c>
      <c r="G50" s="52">
        <f t="shared" si="8"/>
        <v>7673.1405</v>
      </c>
      <c r="H50" s="52">
        <f t="shared" si="8"/>
        <v>9735.651775</v>
      </c>
      <c r="I50" s="52">
        <f t="shared" si="8"/>
        <v>12422.61798</v>
      </c>
      <c r="J50" s="48" t="s">
        <v>304</v>
      </c>
    </row>
    <row r="51">
      <c r="A51" s="48" t="s">
        <v>35</v>
      </c>
      <c r="B51" s="48" t="s">
        <v>357</v>
      </c>
      <c r="C51" s="48" t="s">
        <v>18</v>
      </c>
      <c r="D51" s="52">
        <f t="shared" ref="D51:I51" si="9">D49-D50</f>
        <v>16848</v>
      </c>
      <c r="E51" s="52">
        <f t="shared" si="9"/>
        <v>20800.8</v>
      </c>
      <c r="F51" s="52">
        <f t="shared" si="9"/>
        <v>25967.79</v>
      </c>
      <c r="G51" s="52">
        <f t="shared" si="9"/>
        <v>32711.8095</v>
      </c>
      <c r="H51" s="52">
        <f t="shared" si="9"/>
        <v>41504.62073</v>
      </c>
      <c r="I51" s="52">
        <f t="shared" si="9"/>
        <v>52959.5819</v>
      </c>
      <c r="J51" s="48" t="s">
        <v>307</v>
      </c>
    </row>
    <row r="52">
      <c r="A52" s="48" t="s">
        <v>35</v>
      </c>
      <c r="B52" s="48" t="s">
        <v>358</v>
      </c>
      <c r="C52" s="48" t="s">
        <v>359</v>
      </c>
      <c r="D52" s="76">
        <f t="shared" ref="D52:I52" si="10">D51/$C$27</f>
        <v>5.807962711</v>
      </c>
      <c r="E52" s="76">
        <f t="shared" si="10"/>
        <v>7.170600117</v>
      </c>
      <c r="F52" s="76">
        <f t="shared" si="10"/>
        <v>8.951801758</v>
      </c>
      <c r="G52" s="76">
        <f t="shared" si="10"/>
        <v>11.27664825</v>
      </c>
      <c r="H52" s="76">
        <f t="shared" si="10"/>
        <v>14.30776885</v>
      </c>
      <c r="I52" s="76">
        <f t="shared" si="10"/>
        <v>18.25660475</v>
      </c>
      <c r="J52" s="48" t="s">
        <v>367</v>
      </c>
    </row>
    <row r="53">
      <c r="A53" s="48" t="s">
        <v>35</v>
      </c>
      <c r="B53" s="48" t="s">
        <v>360</v>
      </c>
      <c r="C53" s="48" t="s">
        <v>462</v>
      </c>
      <c r="D53" s="52">
        <f t="shared" ref="D53:I53" si="11">$C$34</f>
        <v>5500</v>
      </c>
      <c r="E53" s="52">
        <f t="shared" si="11"/>
        <v>5500</v>
      </c>
      <c r="F53" s="52">
        <f t="shared" si="11"/>
        <v>5500</v>
      </c>
      <c r="G53" s="52">
        <f t="shared" si="11"/>
        <v>5500</v>
      </c>
      <c r="H53" s="52">
        <f t="shared" si="11"/>
        <v>5500</v>
      </c>
      <c r="I53" s="52">
        <f t="shared" si="11"/>
        <v>5500</v>
      </c>
      <c r="J53" s="48" t="s">
        <v>463</v>
      </c>
    </row>
    <row r="54">
      <c r="A54" s="48" t="s">
        <v>35</v>
      </c>
      <c r="B54" s="48" t="s">
        <v>361</v>
      </c>
      <c r="C54" s="48" t="s">
        <v>464</v>
      </c>
      <c r="D54" s="52">
        <f t="shared" ref="D54:I54" si="12">IF(VALUE(LEFT(D$46,4))&lt;2028,D51*$C$8,D47*0.1)</f>
        <v>13478.4</v>
      </c>
      <c r="E54" s="52">
        <f t="shared" si="12"/>
        <v>16640.64</v>
      </c>
      <c r="F54" s="52">
        <f t="shared" si="12"/>
        <v>20774.232</v>
      </c>
      <c r="G54" s="52">
        <f t="shared" si="12"/>
        <v>10096.2375</v>
      </c>
      <c r="H54" s="52">
        <f t="shared" si="12"/>
        <v>12810.06813</v>
      </c>
      <c r="I54" s="52">
        <f t="shared" si="12"/>
        <v>16345.54997</v>
      </c>
      <c r="J54" s="48" t="s">
        <v>371</v>
      </c>
    </row>
    <row r="55">
      <c r="A55" s="48" t="s">
        <v>35</v>
      </c>
      <c r="B55" s="48" t="s">
        <v>362</v>
      </c>
      <c r="C55" s="48" t="s">
        <v>18</v>
      </c>
      <c r="D55" s="52">
        <f t="shared" ref="D55:I55" si="13">D51+D53-D54</f>
        <v>8869.6</v>
      </c>
      <c r="E55" s="52">
        <f t="shared" si="13"/>
        <v>9660.16</v>
      </c>
      <c r="F55" s="52">
        <f t="shared" si="13"/>
        <v>10693.558</v>
      </c>
      <c r="G55" s="52">
        <f t="shared" si="13"/>
        <v>28115.572</v>
      </c>
      <c r="H55" s="52">
        <f t="shared" si="13"/>
        <v>34194.5526</v>
      </c>
      <c r="I55" s="52">
        <f t="shared" si="13"/>
        <v>42114.03193</v>
      </c>
      <c r="J55" s="48" t="s">
        <v>465</v>
      </c>
    </row>
    <row r="56">
      <c r="A56" s="48" t="s">
        <v>281</v>
      </c>
      <c r="B56" s="48" t="s">
        <v>114</v>
      </c>
      <c r="C56" s="48" t="s">
        <v>18</v>
      </c>
      <c r="D56" s="48">
        <v>0.0</v>
      </c>
      <c r="E56" s="48">
        <v>0.5</v>
      </c>
      <c r="F56" s="48">
        <v>1.5</v>
      </c>
      <c r="G56" s="48">
        <v>2.5</v>
      </c>
      <c r="H56" s="48">
        <v>3.5</v>
      </c>
      <c r="I56" s="48">
        <v>4.5</v>
      </c>
      <c r="J56" s="48" t="s">
        <v>466</v>
      </c>
    </row>
    <row r="57">
      <c r="A57" s="48" t="s">
        <v>35</v>
      </c>
      <c r="B57" s="48" t="s">
        <v>115</v>
      </c>
      <c r="C57" s="48" t="s">
        <v>18</v>
      </c>
      <c r="D57" s="48">
        <f>1</f>
        <v>1</v>
      </c>
      <c r="E57" s="66">
        <f t="shared" ref="E57:I57" si="14">1/(1+$C$32)^E56</f>
        <v>0.9534625892</v>
      </c>
      <c r="F57" s="66">
        <f t="shared" si="14"/>
        <v>0.866784172</v>
      </c>
      <c r="G57" s="66">
        <f t="shared" si="14"/>
        <v>0.7879856109</v>
      </c>
      <c r="H57" s="66">
        <f t="shared" si="14"/>
        <v>0.7163505554</v>
      </c>
      <c r="I57" s="66">
        <f t="shared" si="14"/>
        <v>0.6512277776</v>
      </c>
      <c r="J57" s="48" t="s">
        <v>467</v>
      </c>
    </row>
    <row r="58">
      <c r="A58" s="48" t="s">
        <v>35</v>
      </c>
      <c r="B58" s="48" t="s">
        <v>363</v>
      </c>
      <c r="C58" s="48" t="s">
        <v>18</v>
      </c>
      <c r="D58" s="52">
        <f t="shared" ref="D58:E58" si="15">D55*D57</f>
        <v>8869.6</v>
      </c>
      <c r="E58" s="52">
        <f t="shared" si="15"/>
        <v>9210.601166</v>
      </c>
      <c r="F58" s="52">
        <f>F55*E57</f>
        <v>10195.9075</v>
      </c>
      <c r="G58" s="52">
        <f t="shared" ref="G58:I58" si="16">G55*G57</f>
        <v>22154.66618</v>
      </c>
      <c r="H58" s="52">
        <f t="shared" si="16"/>
        <v>24495.28675</v>
      </c>
      <c r="I58" s="52">
        <f t="shared" si="16"/>
        <v>27425.82742</v>
      </c>
      <c r="J58" s="48" t="s">
        <v>468</v>
      </c>
    </row>
    <row r="59">
      <c r="A59" s="48" t="s">
        <v>286</v>
      </c>
      <c r="B59" s="48" t="s">
        <v>469</v>
      </c>
      <c r="C59" s="52">
        <f>SUM(E58:I58)</f>
        <v>93482.28901</v>
      </c>
      <c r="D59" s="48" t="s">
        <v>470</v>
      </c>
      <c r="E59" s="48" t="s">
        <v>35</v>
      </c>
      <c r="F59" s="48" t="s">
        <v>35</v>
      </c>
      <c r="G59" s="48" t="s">
        <v>35</v>
      </c>
      <c r="H59" s="48" t="s">
        <v>35</v>
      </c>
      <c r="I59" s="48" t="s">
        <v>471</v>
      </c>
      <c r="J59" s="48"/>
    </row>
    <row r="60">
      <c r="A60" s="48" t="s">
        <v>35</v>
      </c>
      <c r="B60" s="48" t="s">
        <v>290</v>
      </c>
      <c r="C60" s="52">
        <f>(I55*(1+$C$33))/($C$32-$C$33)</f>
        <v>619677.8984</v>
      </c>
      <c r="D60" s="48" t="s">
        <v>472</v>
      </c>
      <c r="E60" s="48" t="s">
        <v>35</v>
      </c>
      <c r="F60" s="48" t="s">
        <v>35</v>
      </c>
      <c r="G60" s="48" t="s">
        <v>35</v>
      </c>
      <c r="H60" s="48" t="s">
        <v>35</v>
      </c>
      <c r="I60" s="48" t="s">
        <v>473</v>
      </c>
      <c r="J60" s="48"/>
    </row>
    <row r="61">
      <c r="A61" s="48" t="s">
        <v>35</v>
      </c>
      <c r="B61" s="48" t="s">
        <v>293</v>
      </c>
      <c r="C61" s="52">
        <f>C60*I57</f>
        <v>403551.4606</v>
      </c>
      <c r="D61" s="48" t="s">
        <v>474</v>
      </c>
      <c r="E61" s="48" t="s">
        <v>35</v>
      </c>
      <c r="F61" s="48" t="s">
        <v>35</v>
      </c>
      <c r="G61" s="48" t="s">
        <v>35</v>
      </c>
      <c r="H61" s="48" t="s">
        <v>35</v>
      </c>
      <c r="I61" s="48" t="s">
        <v>475</v>
      </c>
      <c r="J61" s="48"/>
    </row>
    <row r="62">
      <c r="A62" s="48" t="s">
        <v>35</v>
      </c>
      <c r="B62" s="48" t="s">
        <v>365</v>
      </c>
      <c r="C62" s="48">
        <f>$C$30</f>
        <v>-118000</v>
      </c>
      <c r="D62" s="48" t="s">
        <v>476</v>
      </c>
      <c r="E62" s="48" t="s">
        <v>35</v>
      </c>
      <c r="F62" s="48" t="s">
        <v>35</v>
      </c>
      <c r="G62" s="48" t="s">
        <v>35</v>
      </c>
      <c r="H62" s="48" t="s">
        <v>35</v>
      </c>
      <c r="I62" s="48" t="s">
        <v>477</v>
      </c>
      <c r="J62" s="48"/>
    </row>
    <row r="63">
      <c r="A63" s="48" t="s">
        <v>35</v>
      </c>
      <c r="B63" s="48" t="s">
        <v>299</v>
      </c>
      <c r="C63" s="52">
        <f>C59+C61+C62</f>
        <v>379033.7496</v>
      </c>
      <c r="D63" s="48" t="s">
        <v>478</v>
      </c>
      <c r="E63" s="48" t="s">
        <v>35</v>
      </c>
      <c r="F63" s="48" t="s">
        <v>35</v>
      </c>
      <c r="G63" s="48" t="s">
        <v>35</v>
      </c>
      <c r="H63" s="48" t="s">
        <v>35</v>
      </c>
      <c r="I63" s="48" t="s">
        <v>479</v>
      </c>
      <c r="J63" s="48"/>
    </row>
    <row r="64">
      <c r="A64" s="48" t="s">
        <v>35</v>
      </c>
      <c r="B64" s="48" t="s">
        <v>302</v>
      </c>
      <c r="C64" s="52">
        <f>$C$27</f>
        <v>2900.84507</v>
      </c>
      <c r="D64" s="48" t="s">
        <v>480</v>
      </c>
      <c r="E64" s="48" t="s">
        <v>35</v>
      </c>
      <c r="F64" s="48" t="s">
        <v>35</v>
      </c>
      <c r="G64" s="48" t="s">
        <v>35</v>
      </c>
      <c r="H64" s="48" t="s">
        <v>35</v>
      </c>
      <c r="I64" s="48" t="s">
        <v>481</v>
      </c>
      <c r="J64" s="48"/>
    </row>
    <row r="65">
      <c r="A65" s="48" t="s">
        <v>35</v>
      </c>
      <c r="B65" s="48" t="s">
        <v>305</v>
      </c>
      <c r="C65" s="52">
        <f>C63/C64</f>
        <v>130.6632172</v>
      </c>
      <c r="D65" s="48" t="s">
        <v>482</v>
      </c>
      <c r="E65" s="48" t="s">
        <v>35</v>
      </c>
      <c r="F65" s="48" t="s">
        <v>35</v>
      </c>
      <c r="G65" s="48" t="s">
        <v>35</v>
      </c>
      <c r="H65" s="48" t="s">
        <v>35</v>
      </c>
      <c r="I65" s="48" t="s">
        <v>483</v>
      </c>
      <c r="J65" s="48"/>
    </row>
    <row r="68">
      <c r="A68" s="48" t="s">
        <v>484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20.13"/>
  </cols>
  <sheetData>
    <row r="1">
      <c r="A1" s="48" t="s">
        <v>159</v>
      </c>
      <c r="B1" s="48" t="s">
        <v>35</v>
      </c>
      <c r="C1" s="48" t="s">
        <v>35</v>
      </c>
      <c r="D1" s="48" t="s">
        <v>35</v>
      </c>
      <c r="E1" s="48" t="s">
        <v>35</v>
      </c>
      <c r="F1" s="48" t="s">
        <v>35</v>
      </c>
      <c r="G1" s="48" t="s">
        <v>35</v>
      </c>
      <c r="H1" s="48" t="s">
        <v>35</v>
      </c>
      <c r="I1" s="48" t="s">
        <v>160</v>
      </c>
      <c r="J1" s="48"/>
    </row>
    <row r="2">
      <c r="A2" s="48" t="s">
        <v>60</v>
      </c>
      <c r="B2" s="48" t="s">
        <v>161</v>
      </c>
      <c r="C2" s="48" t="s">
        <v>162</v>
      </c>
      <c r="D2" s="48" t="s">
        <v>163</v>
      </c>
      <c r="E2" s="48" t="s">
        <v>164</v>
      </c>
      <c r="F2" s="48" t="s">
        <v>165</v>
      </c>
      <c r="G2" s="48" t="s">
        <v>166</v>
      </c>
      <c r="H2" s="48" t="s">
        <v>35</v>
      </c>
      <c r="I2" s="48" t="s">
        <v>167</v>
      </c>
      <c r="J2" s="48"/>
    </row>
    <row r="3">
      <c r="A3" s="48" t="s">
        <v>168</v>
      </c>
      <c r="B3" s="48" t="s">
        <v>169</v>
      </c>
      <c r="C3" s="48">
        <v>1.0</v>
      </c>
      <c r="D3" s="48" t="s">
        <v>35</v>
      </c>
      <c r="E3" s="48" t="s">
        <v>35</v>
      </c>
      <c r="F3" s="48" t="s">
        <v>35</v>
      </c>
      <c r="G3" s="48" t="s">
        <v>170</v>
      </c>
      <c r="H3" s="48" t="s">
        <v>35</v>
      </c>
      <c r="I3" s="48" t="s">
        <v>171</v>
      </c>
      <c r="J3" s="48"/>
    </row>
    <row r="4">
      <c r="A4" s="48" t="s">
        <v>485</v>
      </c>
      <c r="B4" s="48" t="s">
        <v>310</v>
      </c>
      <c r="C4" s="66">
        <f t="shared" ref="C4:C7" si="1">CHOOSE($C$3,D4,E4,F4)</f>
        <v>0.03</v>
      </c>
      <c r="D4" s="66">
        <v>0.03</v>
      </c>
      <c r="E4" s="66">
        <v>0.05</v>
      </c>
      <c r="F4" s="66">
        <v>0.1</v>
      </c>
      <c r="G4" s="48" t="s">
        <v>486</v>
      </c>
      <c r="H4" s="48" t="s">
        <v>35</v>
      </c>
      <c r="I4" s="48" t="s">
        <v>174</v>
      </c>
      <c r="J4" s="48"/>
    </row>
    <row r="5">
      <c r="A5" s="48" t="s">
        <v>487</v>
      </c>
      <c r="B5" s="48" t="s">
        <v>310</v>
      </c>
      <c r="C5" s="66">
        <f t="shared" si="1"/>
        <v>0.02</v>
      </c>
      <c r="D5" s="66">
        <v>0.02</v>
      </c>
      <c r="E5" s="66">
        <v>0.04</v>
      </c>
      <c r="F5" s="66">
        <v>0.06</v>
      </c>
      <c r="G5" s="48" t="s">
        <v>488</v>
      </c>
      <c r="H5" s="48" t="s">
        <v>35</v>
      </c>
      <c r="I5" s="48" t="s">
        <v>177</v>
      </c>
      <c r="J5" s="48"/>
    </row>
    <row r="6">
      <c r="A6" s="48" t="s">
        <v>489</v>
      </c>
      <c r="B6" s="48" t="s">
        <v>310</v>
      </c>
      <c r="C6" s="66">
        <f t="shared" si="1"/>
        <v>0.03</v>
      </c>
      <c r="D6" s="66">
        <v>0.03</v>
      </c>
      <c r="E6" s="66">
        <v>0.06</v>
      </c>
      <c r="F6" s="66">
        <v>0.07</v>
      </c>
      <c r="G6" s="48" t="s">
        <v>490</v>
      </c>
      <c r="H6" s="48" t="s">
        <v>35</v>
      </c>
      <c r="I6" s="48" t="s">
        <v>179</v>
      </c>
      <c r="J6" s="48"/>
    </row>
    <row r="7">
      <c r="A7" s="48" t="s">
        <v>316</v>
      </c>
      <c r="B7" s="48" t="s">
        <v>317</v>
      </c>
      <c r="C7" s="66">
        <f t="shared" si="1"/>
        <v>0.38</v>
      </c>
      <c r="D7" s="66">
        <v>0.38</v>
      </c>
      <c r="E7" s="66">
        <v>0.41</v>
      </c>
      <c r="F7" s="66">
        <v>0.43</v>
      </c>
      <c r="G7" s="48" t="s">
        <v>491</v>
      </c>
      <c r="H7" s="48" t="s">
        <v>35</v>
      </c>
      <c r="I7" s="48" t="s">
        <v>180</v>
      </c>
      <c r="J7" s="48"/>
    </row>
    <row r="8">
      <c r="A8" s="48" t="s">
        <v>35</v>
      </c>
      <c r="B8" s="48" t="s">
        <v>35</v>
      </c>
      <c r="C8" s="48" t="s">
        <v>35</v>
      </c>
      <c r="D8" s="48" t="s">
        <v>35</v>
      </c>
      <c r="E8" s="48" t="s">
        <v>35</v>
      </c>
      <c r="F8" s="48" t="s">
        <v>35</v>
      </c>
      <c r="G8" s="48" t="s">
        <v>35</v>
      </c>
      <c r="H8" s="48" t="s">
        <v>35</v>
      </c>
      <c r="I8" s="48" t="s">
        <v>35</v>
      </c>
      <c r="J8" s="48" t="s">
        <v>181</v>
      </c>
    </row>
    <row r="9">
      <c r="A9" s="48" t="s">
        <v>319</v>
      </c>
      <c r="B9" s="48" t="s">
        <v>35</v>
      </c>
      <c r="C9" s="48" t="s">
        <v>35</v>
      </c>
      <c r="D9" s="48" t="s">
        <v>35</v>
      </c>
      <c r="E9" s="48" t="s">
        <v>35</v>
      </c>
      <c r="F9" s="48" t="s">
        <v>35</v>
      </c>
      <c r="G9" s="48" t="s">
        <v>35</v>
      </c>
      <c r="H9" s="48" t="s">
        <v>35</v>
      </c>
      <c r="I9" s="48" t="s">
        <v>183</v>
      </c>
      <c r="J9" s="48"/>
    </row>
    <row r="10">
      <c r="A10" s="48" t="s">
        <v>60</v>
      </c>
      <c r="B10" s="48" t="s">
        <v>184</v>
      </c>
      <c r="C10" s="48" t="s">
        <v>185</v>
      </c>
      <c r="D10" s="48" t="s">
        <v>320</v>
      </c>
      <c r="E10" s="48" t="s">
        <v>187</v>
      </c>
      <c r="F10" s="48" t="s">
        <v>81</v>
      </c>
      <c r="G10" s="48" t="s">
        <v>82</v>
      </c>
      <c r="H10" s="48" t="s">
        <v>83</v>
      </c>
      <c r="I10" s="48" t="s">
        <v>188</v>
      </c>
      <c r="J10" s="48" t="s">
        <v>189</v>
      </c>
    </row>
    <row r="11">
      <c r="A11" s="48" t="s">
        <v>492</v>
      </c>
      <c r="B11" s="48" t="s">
        <v>493</v>
      </c>
      <c r="C11" s="66">
        <f>$C$4</f>
        <v>0.03</v>
      </c>
      <c r="D11" s="52">
        <v>4200.0</v>
      </c>
      <c r="E11" s="52">
        <f t="shared" ref="E11:I11" si="2">D11*(1+$C11)</f>
        <v>4326</v>
      </c>
      <c r="F11" s="52">
        <f t="shared" si="2"/>
        <v>4455.78</v>
      </c>
      <c r="G11" s="52">
        <f t="shared" si="2"/>
        <v>4589.4534</v>
      </c>
      <c r="H11" s="52">
        <f t="shared" si="2"/>
        <v>4727.137002</v>
      </c>
      <c r="I11" s="52">
        <f t="shared" si="2"/>
        <v>4868.951112</v>
      </c>
      <c r="J11" s="48" t="s">
        <v>192</v>
      </c>
    </row>
    <row r="12">
      <c r="A12" s="48" t="s">
        <v>494</v>
      </c>
      <c r="B12" s="48" t="s">
        <v>495</v>
      </c>
      <c r="C12" s="66">
        <f>$C$5</f>
        <v>0.02</v>
      </c>
      <c r="D12" s="52">
        <v>1900.0</v>
      </c>
      <c r="E12" s="52">
        <f t="shared" ref="E12:I12" si="3">D12*(1+$C12)</f>
        <v>1938</v>
      </c>
      <c r="F12" s="52">
        <f t="shared" si="3"/>
        <v>1976.76</v>
      </c>
      <c r="G12" s="52">
        <f t="shared" si="3"/>
        <v>2016.2952</v>
      </c>
      <c r="H12" s="52">
        <f t="shared" si="3"/>
        <v>2056.621104</v>
      </c>
      <c r="I12" s="52">
        <f t="shared" si="3"/>
        <v>2097.753526</v>
      </c>
      <c r="J12" s="48" t="s">
        <v>195</v>
      </c>
    </row>
    <row r="13">
      <c r="A13" s="48" t="s">
        <v>496</v>
      </c>
      <c r="B13" s="48" t="s">
        <v>497</v>
      </c>
      <c r="C13" s="66">
        <f>$C$6</f>
        <v>0.03</v>
      </c>
      <c r="D13" s="52">
        <v>1800.0</v>
      </c>
      <c r="E13" s="52">
        <f t="shared" ref="E13:I13" si="4">D13*(1+$C13)</f>
        <v>1854</v>
      </c>
      <c r="F13" s="52">
        <f t="shared" si="4"/>
        <v>1909.62</v>
      </c>
      <c r="G13" s="52">
        <f t="shared" si="4"/>
        <v>1966.9086</v>
      </c>
      <c r="H13" s="52">
        <f t="shared" si="4"/>
        <v>2025.915858</v>
      </c>
      <c r="I13" s="52">
        <f t="shared" si="4"/>
        <v>2086.693334</v>
      </c>
      <c r="J13" s="48" t="s">
        <v>198</v>
      </c>
    </row>
    <row r="14">
      <c r="A14" s="48" t="s">
        <v>327</v>
      </c>
      <c r="B14" s="48" t="s">
        <v>98</v>
      </c>
      <c r="C14" s="48" t="s">
        <v>18</v>
      </c>
      <c r="D14" s="52">
        <f t="shared" ref="D14:I14" si="5">SUM(D11:D13)</f>
        <v>7900</v>
      </c>
      <c r="E14" s="52">
        <f t="shared" si="5"/>
        <v>8118</v>
      </c>
      <c r="F14" s="52">
        <f t="shared" si="5"/>
        <v>8342.16</v>
      </c>
      <c r="G14" s="52">
        <f t="shared" si="5"/>
        <v>8572.6572</v>
      </c>
      <c r="H14" s="52">
        <f t="shared" si="5"/>
        <v>8809.673964</v>
      </c>
      <c r="I14" s="52">
        <f t="shared" si="5"/>
        <v>9053.397972</v>
      </c>
      <c r="J14" s="48" t="s">
        <v>202</v>
      </c>
    </row>
    <row r="15">
      <c r="A15" s="48" t="s">
        <v>35</v>
      </c>
      <c r="B15" s="48" t="s">
        <v>35</v>
      </c>
      <c r="C15" s="48" t="s">
        <v>35</v>
      </c>
      <c r="D15" s="48" t="s">
        <v>35</v>
      </c>
      <c r="E15" s="48" t="s">
        <v>35</v>
      </c>
      <c r="F15" s="48" t="s">
        <v>35</v>
      </c>
      <c r="G15" s="48" t="s">
        <v>35</v>
      </c>
      <c r="H15" s="48" t="s">
        <v>35</v>
      </c>
      <c r="I15" s="48" t="s">
        <v>35</v>
      </c>
      <c r="J15" s="48" t="s">
        <v>203</v>
      </c>
    </row>
    <row r="16">
      <c r="A16" s="48" t="s">
        <v>35</v>
      </c>
      <c r="B16" s="48" t="s">
        <v>35</v>
      </c>
      <c r="C16" s="48" t="s">
        <v>35</v>
      </c>
      <c r="D16" s="48" t="s">
        <v>35</v>
      </c>
      <c r="E16" s="48" t="s">
        <v>35</v>
      </c>
      <c r="F16" s="48" t="s">
        <v>35</v>
      </c>
      <c r="G16" s="48" t="s">
        <v>35</v>
      </c>
      <c r="H16" s="48" t="s">
        <v>35</v>
      </c>
      <c r="I16" s="48" t="s">
        <v>35</v>
      </c>
      <c r="J16" s="48" t="s">
        <v>204</v>
      </c>
    </row>
    <row r="17">
      <c r="A17" s="48" t="s">
        <v>205</v>
      </c>
      <c r="B17" s="48" t="s">
        <v>35</v>
      </c>
      <c r="C17" s="48" t="s">
        <v>35</v>
      </c>
      <c r="D17" s="48" t="s">
        <v>35</v>
      </c>
      <c r="E17" s="48" t="s">
        <v>35</v>
      </c>
      <c r="F17" s="48" t="s">
        <v>35</v>
      </c>
      <c r="G17" s="48" t="s">
        <v>35</v>
      </c>
      <c r="H17" s="48" t="s">
        <v>35</v>
      </c>
      <c r="I17" s="48" t="s">
        <v>206</v>
      </c>
      <c r="J17" s="48"/>
    </row>
    <row r="18">
      <c r="A18" s="48" t="s">
        <v>60</v>
      </c>
      <c r="B18" s="48" t="s">
        <v>161</v>
      </c>
      <c r="C18" s="48" t="s">
        <v>207</v>
      </c>
      <c r="D18" s="48" t="s">
        <v>208</v>
      </c>
      <c r="E18" s="48" t="s">
        <v>35</v>
      </c>
      <c r="F18" s="48" t="s">
        <v>35</v>
      </c>
      <c r="G18" s="48" t="s">
        <v>35</v>
      </c>
      <c r="H18" s="48" t="s">
        <v>35</v>
      </c>
      <c r="I18" s="48" t="s">
        <v>209</v>
      </c>
      <c r="J18" s="48"/>
    </row>
    <row r="19">
      <c r="A19" s="48" t="s">
        <v>328</v>
      </c>
      <c r="B19" s="74" t="s">
        <v>329</v>
      </c>
      <c r="C19" s="74">
        <v>320.0</v>
      </c>
      <c r="D19" s="74" t="s">
        <v>330</v>
      </c>
      <c r="E19" s="48" t="s">
        <v>35</v>
      </c>
      <c r="F19" s="48" t="s">
        <v>35</v>
      </c>
      <c r="G19" s="48" t="s">
        <v>35</v>
      </c>
      <c r="H19" s="48" t="s">
        <v>35</v>
      </c>
      <c r="I19" s="48" t="s">
        <v>213</v>
      </c>
      <c r="J19" s="48"/>
    </row>
    <row r="20">
      <c r="A20" s="48" t="s">
        <v>210</v>
      </c>
      <c r="B20" s="48" t="s">
        <v>211</v>
      </c>
      <c r="C20" s="48">
        <v>107.0</v>
      </c>
      <c r="D20" s="48" t="s">
        <v>331</v>
      </c>
      <c r="E20" s="48" t="s">
        <v>35</v>
      </c>
      <c r="F20" s="48" t="s">
        <v>35</v>
      </c>
      <c r="G20" s="48" t="s">
        <v>35</v>
      </c>
      <c r="H20" s="48" t="s">
        <v>35</v>
      </c>
      <c r="I20" s="48" t="s">
        <v>217</v>
      </c>
      <c r="J20" s="48"/>
    </row>
    <row r="21">
      <c r="A21" s="48" t="s">
        <v>214</v>
      </c>
      <c r="B21" s="48" t="s">
        <v>215</v>
      </c>
      <c r="C21" s="66">
        <v>0.21</v>
      </c>
      <c r="D21" s="48" t="s">
        <v>498</v>
      </c>
      <c r="E21" s="48" t="s">
        <v>35</v>
      </c>
      <c r="F21" s="48" t="s">
        <v>35</v>
      </c>
      <c r="G21" s="48" t="s">
        <v>35</v>
      </c>
      <c r="H21" s="48" t="s">
        <v>35</v>
      </c>
      <c r="I21" s="48" t="s">
        <v>221</v>
      </c>
      <c r="J21" s="48"/>
    </row>
    <row r="22">
      <c r="A22" s="48" t="s">
        <v>499</v>
      </c>
      <c r="B22" s="48" t="s">
        <v>334</v>
      </c>
      <c r="C22" s="48">
        <v>-8800.0</v>
      </c>
      <c r="D22" s="48" t="s">
        <v>500</v>
      </c>
      <c r="E22" s="48" t="s">
        <v>35</v>
      </c>
      <c r="F22" s="48" t="s">
        <v>501</v>
      </c>
      <c r="G22" s="48" t="s">
        <v>35</v>
      </c>
      <c r="H22" s="48" t="s">
        <v>225</v>
      </c>
      <c r="I22" s="48"/>
      <c r="J22" s="48"/>
    </row>
    <row r="23">
      <c r="A23" s="48" t="s">
        <v>222</v>
      </c>
      <c r="B23" s="48" t="s">
        <v>223</v>
      </c>
      <c r="C23" s="48">
        <f>CHOOSE($C$3,9.5%,8.5%,7.5%)</f>
        <v>0.095</v>
      </c>
      <c r="D23" s="48" t="s">
        <v>502</v>
      </c>
      <c r="E23" s="48" t="s">
        <v>35</v>
      </c>
      <c r="F23" s="48" t="s">
        <v>35</v>
      </c>
      <c r="G23" s="48" t="s">
        <v>35</v>
      </c>
      <c r="H23" s="48" t="s">
        <v>229</v>
      </c>
      <c r="I23" s="48"/>
      <c r="J23" s="48"/>
    </row>
    <row r="24">
      <c r="A24" s="48" t="s">
        <v>226</v>
      </c>
      <c r="B24" s="48" t="s">
        <v>227</v>
      </c>
      <c r="C24" s="48">
        <f>CHOOSE($C$3,2%,3%,4%)</f>
        <v>0.02</v>
      </c>
      <c r="D24" s="48" t="s">
        <v>338</v>
      </c>
      <c r="E24" s="48" t="s">
        <v>35</v>
      </c>
      <c r="F24" s="48" t="s">
        <v>35</v>
      </c>
      <c r="G24" s="48" t="s">
        <v>35</v>
      </c>
      <c r="H24" s="48" t="s">
        <v>230</v>
      </c>
      <c r="I24" s="48"/>
      <c r="J24" s="48"/>
    </row>
    <row r="25">
      <c r="A25" s="48" t="s">
        <v>35</v>
      </c>
      <c r="B25" s="48" t="s">
        <v>35</v>
      </c>
      <c r="C25" s="48" t="s">
        <v>35</v>
      </c>
      <c r="D25" s="48" t="s">
        <v>35</v>
      </c>
      <c r="E25" s="48" t="s">
        <v>35</v>
      </c>
      <c r="F25" s="48" t="s">
        <v>35</v>
      </c>
      <c r="G25" s="48" t="s">
        <v>35</v>
      </c>
      <c r="H25" s="48" t="s">
        <v>35</v>
      </c>
      <c r="I25" s="48" t="s">
        <v>35</v>
      </c>
      <c r="J25" s="48" t="s">
        <v>232</v>
      </c>
    </row>
    <row r="26">
      <c r="A26" s="48" t="s">
        <v>231</v>
      </c>
      <c r="B26" s="48" t="s">
        <v>35</v>
      </c>
      <c r="C26" s="48" t="s">
        <v>35</v>
      </c>
      <c r="D26" s="48" t="s">
        <v>35</v>
      </c>
      <c r="E26" s="48" t="s">
        <v>35</v>
      </c>
      <c r="F26" s="48" t="s">
        <v>35</v>
      </c>
      <c r="G26" s="48" t="s">
        <v>35</v>
      </c>
      <c r="H26" s="48" t="s">
        <v>35</v>
      </c>
      <c r="I26" s="48" t="s">
        <v>235</v>
      </c>
      <c r="J26" s="48"/>
    </row>
    <row r="27">
      <c r="A27" s="48" t="s">
        <v>60</v>
      </c>
      <c r="B27" s="48" t="s">
        <v>161</v>
      </c>
      <c r="C27" s="48" t="s">
        <v>233</v>
      </c>
      <c r="D27" s="48" t="s">
        <v>234</v>
      </c>
      <c r="E27" s="48" t="s">
        <v>35</v>
      </c>
      <c r="F27" s="48" t="s">
        <v>35</v>
      </c>
      <c r="G27" s="48" t="s">
        <v>35</v>
      </c>
      <c r="H27" s="48" t="s">
        <v>35</v>
      </c>
      <c r="I27" s="48" t="s">
        <v>239</v>
      </c>
      <c r="J27" s="48"/>
    </row>
    <row r="28">
      <c r="A28" s="48" t="s">
        <v>236</v>
      </c>
      <c r="B28" s="48" t="s">
        <v>237</v>
      </c>
      <c r="C28" s="48" t="str">
        <f>CHOOSE($C$3,"Bear (1)","Base (2)","Bull (3)")</f>
        <v>Bear (1)</v>
      </c>
      <c r="D28" s="48" t="s">
        <v>238</v>
      </c>
      <c r="E28" s="48" t="s">
        <v>35</v>
      </c>
      <c r="F28" s="48" t="s">
        <v>35</v>
      </c>
      <c r="G28" s="48" t="s">
        <v>35</v>
      </c>
      <c r="H28" s="48" t="s">
        <v>35</v>
      </c>
      <c r="I28" s="48" t="s">
        <v>242</v>
      </c>
      <c r="J28" s="48"/>
    </row>
    <row r="29">
      <c r="A29" s="48" t="s">
        <v>339</v>
      </c>
      <c r="B29" s="74" t="s">
        <v>340</v>
      </c>
      <c r="C29" s="75">
        <f>C55</f>
        <v>363.0157785</v>
      </c>
      <c r="D29" s="74" t="s">
        <v>248</v>
      </c>
      <c r="E29" s="48" t="s">
        <v>35</v>
      </c>
      <c r="F29" s="48" t="s">
        <v>35</v>
      </c>
      <c r="G29" s="48" t="s">
        <v>35</v>
      </c>
      <c r="H29" s="48" t="s">
        <v>35</v>
      </c>
      <c r="I29" s="48" t="s">
        <v>246</v>
      </c>
      <c r="J29" s="48"/>
    </row>
    <row r="30">
      <c r="A30" s="48" t="s">
        <v>341</v>
      </c>
      <c r="B30" s="48" t="s">
        <v>342</v>
      </c>
      <c r="C30" s="66">
        <f>C29/C19-1</f>
        <v>0.1344243078</v>
      </c>
      <c r="D30" s="48" t="s">
        <v>343</v>
      </c>
      <c r="E30" s="48" t="s">
        <v>35</v>
      </c>
      <c r="F30" s="48" t="s">
        <v>35</v>
      </c>
      <c r="G30" s="48" t="s">
        <v>35</v>
      </c>
      <c r="H30" s="48" t="s">
        <v>35</v>
      </c>
      <c r="I30" s="48" t="s">
        <v>250</v>
      </c>
      <c r="J30" s="48"/>
    </row>
    <row r="31">
      <c r="A31" s="48" t="s">
        <v>344</v>
      </c>
      <c r="B31" s="48" t="s">
        <v>345</v>
      </c>
      <c r="C31" s="70">
        <f>E42</f>
        <v>22.7759215</v>
      </c>
      <c r="D31" s="48" t="s">
        <v>346</v>
      </c>
      <c r="E31" s="48" t="s">
        <v>35</v>
      </c>
      <c r="F31" s="48" t="s">
        <v>35</v>
      </c>
      <c r="G31" s="48" t="s">
        <v>35</v>
      </c>
      <c r="H31" s="48" t="s">
        <v>35</v>
      </c>
      <c r="I31" s="48" t="s">
        <v>254</v>
      </c>
      <c r="J31" s="48"/>
    </row>
    <row r="32">
      <c r="A32" s="48" t="s">
        <v>347</v>
      </c>
      <c r="B32" s="48" t="s">
        <v>244</v>
      </c>
      <c r="C32" s="70">
        <f>C19/E42</f>
        <v>14.04992549</v>
      </c>
      <c r="D32" s="48" t="s">
        <v>348</v>
      </c>
      <c r="E32" s="48" t="s">
        <v>35</v>
      </c>
      <c r="F32" s="48" t="s">
        <v>35</v>
      </c>
      <c r="G32" s="48" t="s">
        <v>35</v>
      </c>
      <c r="H32" s="48" t="s">
        <v>35</v>
      </c>
      <c r="I32" s="48" t="s">
        <v>255</v>
      </c>
      <c r="J32" s="48"/>
    </row>
    <row r="33">
      <c r="A33" s="48" t="s">
        <v>251</v>
      </c>
      <c r="B33" s="48" t="s">
        <v>349</v>
      </c>
      <c r="C33" s="48" t="str">
        <f>IF(C30&gt;0.15,"저평가 (Buy)",IF(C30&lt;-0.15,"고평가 (Sell)","적정 (Hold)"))</f>
        <v>적정 (Hold)</v>
      </c>
      <c r="D33" s="48" t="s">
        <v>350</v>
      </c>
      <c r="E33" s="48" t="s">
        <v>35</v>
      </c>
      <c r="F33" s="48" t="s">
        <v>35</v>
      </c>
      <c r="G33" s="48" t="s">
        <v>35</v>
      </c>
      <c r="H33" s="48" t="s">
        <v>35</v>
      </c>
      <c r="I33" s="48" t="s">
        <v>257</v>
      </c>
      <c r="J33" s="48"/>
    </row>
    <row r="34">
      <c r="A34" s="48" t="s">
        <v>35</v>
      </c>
      <c r="B34" s="48" t="s">
        <v>35</v>
      </c>
      <c r="C34" s="48" t="s">
        <v>35</v>
      </c>
      <c r="D34" s="48" t="s">
        <v>35</v>
      </c>
      <c r="E34" s="48" t="s">
        <v>35</v>
      </c>
      <c r="F34" s="48" t="s">
        <v>35</v>
      </c>
      <c r="G34" s="48" t="s">
        <v>35</v>
      </c>
      <c r="H34" s="48" t="s">
        <v>35</v>
      </c>
      <c r="I34" s="48" t="s">
        <v>35</v>
      </c>
      <c r="J34" s="48" t="s">
        <v>261</v>
      </c>
    </row>
    <row r="35">
      <c r="A35" s="48" t="s">
        <v>256</v>
      </c>
      <c r="B35" s="48" t="s">
        <v>35</v>
      </c>
      <c r="C35" s="48" t="s">
        <v>35</v>
      </c>
      <c r="D35" s="48" t="s">
        <v>35</v>
      </c>
      <c r="E35" s="48" t="s">
        <v>35</v>
      </c>
      <c r="F35" s="48" t="s">
        <v>35</v>
      </c>
      <c r="G35" s="48" t="s">
        <v>35</v>
      </c>
      <c r="H35" s="48" t="s">
        <v>35</v>
      </c>
      <c r="I35" s="48" t="s">
        <v>265</v>
      </c>
      <c r="J35" s="48"/>
    </row>
    <row r="36">
      <c r="A36" s="48" t="s">
        <v>258</v>
      </c>
      <c r="B36" s="48" t="s">
        <v>61</v>
      </c>
      <c r="C36" s="48" t="s">
        <v>351</v>
      </c>
      <c r="D36" s="48" t="s">
        <v>352</v>
      </c>
      <c r="E36" s="48" t="s">
        <v>80</v>
      </c>
      <c r="F36" s="48" t="s">
        <v>81</v>
      </c>
      <c r="G36" s="48" t="s">
        <v>82</v>
      </c>
      <c r="H36" s="48" t="s">
        <v>83</v>
      </c>
      <c r="I36" s="48" t="s">
        <v>188</v>
      </c>
      <c r="J36" s="48" t="s">
        <v>268</v>
      </c>
    </row>
    <row r="37">
      <c r="A37" s="48" t="s">
        <v>262</v>
      </c>
      <c r="B37" s="48" t="s">
        <v>98</v>
      </c>
      <c r="C37" s="48" t="s">
        <v>18</v>
      </c>
      <c r="D37" s="52">
        <f t="shared" ref="D37:I37" si="6">D14</f>
        <v>7900</v>
      </c>
      <c r="E37" s="52">
        <f t="shared" si="6"/>
        <v>8118</v>
      </c>
      <c r="F37" s="52">
        <f t="shared" si="6"/>
        <v>8342.16</v>
      </c>
      <c r="G37" s="52">
        <f t="shared" si="6"/>
        <v>8572.6572</v>
      </c>
      <c r="H37" s="52">
        <f t="shared" si="6"/>
        <v>8809.673964</v>
      </c>
      <c r="I37" s="52">
        <f t="shared" si="6"/>
        <v>9053.397972</v>
      </c>
      <c r="J37" s="48" t="s">
        <v>271</v>
      </c>
    </row>
    <row r="38">
      <c r="A38" s="48" t="s">
        <v>353</v>
      </c>
      <c r="B38" s="48" t="s">
        <v>354</v>
      </c>
      <c r="C38" s="48" t="s">
        <v>18</v>
      </c>
      <c r="D38" s="66">
        <v>0.41</v>
      </c>
      <c r="E38" s="66">
        <f t="shared" ref="E38:I38" si="7">$C$7</f>
        <v>0.38</v>
      </c>
      <c r="F38" s="66">
        <f t="shared" si="7"/>
        <v>0.38</v>
      </c>
      <c r="G38" s="66">
        <f t="shared" si="7"/>
        <v>0.38</v>
      </c>
      <c r="H38" s="66">
        <f t="shared" si="7"/>
        <v>0.38</v>
      </c>
      <c r="I38" s="66">
        <f t="shared" si="7"/>
        <v>0.38</v>
      </c>
      <c r="J38" s="48" t="s">
        <v>273</v>
      </c>
    </row>
    <row r="39">
      <c r="A39" s="48" t="s">
        <v>35</v>
      </c>
      <c r="B39" s="48" t="s">
        <v>355</v>
      </c>
      <c r="C39" s="48" t="s">
        <v>18</v>
      </c>
      <c r="D39" s="52">
        <f t="shared" ref="D39:I39" si="8">D37*D38</f>
        <v>3239</v>
      </c>
      <c r="E39" s="52">
        <f t="shared" si="8"/>
        <v>3084.84</v>
      </c>
      <c r="F39" s="52">
        <f t="shared" si="8"/>
        <v>3170.0208</v>
      </c>
      <c r="G39" s="52">
        <f t="shared" si="8"/>
        <v>3257.609736</v>
      </c>
      <c r="H39" s="52">
        <f t="shared" si="8"/>
        <v>3347.676106</v>
      </c>
      <c r="I39" s="52">
        <f t="shared" si="8"/>
        <v>3440.291229</v>
      </c>
      <c r="J39" s="48" t="s">
        <v>276</v>
      </c>
    </row>
    <row r="40">
      <c r="A40" s="48" t="s">
        <v>356</v>
      </c>
      <c r="B40" s="48" t="s">
        <v>275</v>
      </c>
      <c r="C40" s="48" t="s">
        <v>18</v>
      </c>
      <c r="D40" s="52">
        <f t="shared" ref="D40:I40" si="9">D39*$C$21</f>
        <v>680.19</v>
      </c>
      <c r="E40" s="52">
        <f t="shared" si="9"/>
        <v>647.8164</v>
      </c>
      <c r="F40" s="52">
        <f t="shared" si="9"/>
        <v>665.704368</v>
      </c>
      <c r="G40" s="52">
        <f t="shared" si="9"/>
        <v>684.0980446</v>
      </c>
      <c r="H40" s="52">
        <f t="shared" si="9"/>
        <v>703.0119823</v>
      </c>
      <c r="I40" s="52">
        <f t="shared" si="9"/>
        <v>722.4611582</v>
      </c>
      <c r="J40" s="48" t="s">
        <v>278</v>
      </c>
    </row>
    <row r="41">
      <c r="A41" s="48" t="s">
        <v>35</v>
      </c>
      <c r="B41" s="48" t="s">
        <v>357</v>
      </c>
      <c r="C41" s="48" t="s">
        <v>18</v>
      </c>
      <c r="D41" s="52">
        <f t="shared" ref="D41:I41" si="10">D39-D40</f>
        <v>2558.81</v>
      </c>
      <c r="E41" s="52">
        <f t="shared" si="10"/>
        <v>2437.0236</v>
      </c>
      <c r="F41" s="52">
        <f t="shared" si="10"/>
        <v>2504.316432</v>
      </c>
      <c r="G41" s="52">
        <f t="shared" si="10"/>
        <v>2573.511691</v>
      </c>
      <c r="H41" s="52">
        <f t="shared" si="10"/>
        <v>2644.664124</v>
      </c>
      <c r="I41" s="52">
        <f t="shared" si="10"/>
        <v>2717.830071</v>
      </c>
      <c r="J41" s="48" t="s">
        <v>280</v>
      </c>
    </row>
    <row r="42">
      <c r="A42" s="48" t="s">
        <v>35</v>
      </c>
      <c r="B42" s="48" t="s">
        <v>358</v>
      </c>
      <c r="C42" s="48" t="s">
        <v>359</v>
      </c>
      <c r="D42" s="70">
        <f t="shared" ref="D42:I42" si="11">D41/$C$20</f>
        <v>23.91411215</v>
      </c>
      <c r="E42" s="70">
        <f t="shared" si="11"/>
        <v>22.7759215</v>
      </c>
      <c r="F42" s="70">
        <f t="shared" si="11"/>
        <v>23.40482647</v>
      </c>
      <c r="G42" s="70">
        <f t="shared" si="11"/>
        <v>24.05151113</v>
      </c>
      <c r="H42" s="70">
        <f t="shared" si="11"/>
        <v>24.71648714</v>
      </c>
      <c r="I42" s="70">
        <f t="shared" si="11"/>
        <v>25.40028104</v>
      </c>
      <c r="J42" s="48" t="s">
        <v>282</v>
      </c>
    </row>
    <row r="43">
      <c r="A43" s="48" t="s">
        <v>35</v>
      </c>
      <c r="B43" s="48" t="s">
        <v>360</v>
      </c>
      <c r="C43" s="48" t="s">
        <v>18</v>
      </c>
      <c r="D43" s="52">
        <f t="shared" ref="D43:I43" si="12">D37*0.12</f>
        <v>948</v>
      </c>
      <c r="E43" s="52">
        <f t="shared" si="12"/>
        <v>974.16</v>
      </c>
      <c r="F43" s="52">
        <f t="shared" si="12"/>
        <v>1001.0592</v>
      </c>
      <c r="G43" s="52">
        <f t="shared" si="12"/>
        <v>1028.718864</v>
      </c>
      <c r="H43" s="52">
        <f t="shared" si="12"/>
        <v>1057.160876</v>
      </c>
      <c r="I43" s="52">
        <f t="shared" si="12"/>
        <v>1086.407757</v>
      </c>
      <c r="J43" s="48" t="s">
        <v>283</v>
      </c>
    </row>
    <row r="44">
      <c r="A44" s="48" t="s">
        <v>35</v>
      </c>
      <c r="B44" s="48" t="s">
        <v>361</v>
      </c>
      <c r="C44" s="48" t="s">
        <v>18</v>
      </c>
      <c r="D44" s="52">
        <f t="shared" ref="D44:I44" si="13">D37*0.01</f>
        <v>79</v>
      </c>
      <c r="E44" s="52">
        <f t="shared" si="13"/>
        <v>81.18</v>
      </c>
      <c r="F44" s="52">
        <f t="shared" si="13"/>
        <v>83.4216</v>
      </c>
      <c r="G44" s="52">
        <f t="shared" si="13"/>
        <v>85.726572</v>
      </c>
      <c r="H44" s="52">
        <f t="shared" si="13"/>
        <v>88.09673964</v>
      </c>
      <c r="I44" s="52">
        <f t="shared" si="13"/>
        <v>90.53397972</v>
      </c>
      <c r="J44" s="48" t="s">
        <v>285</v>
      </c>
    </row>
    <row r="45">
      <c r="A45" s="48" t="s">
        <v>35</v>
      </c>
      <c r="B45" s="48" t="s">
        <v>362</v>
      </c>
      <c r="C45" s="48" t="s">
        <v>18</v>
      </c>
      <c r="D45" s="52">
        <f t="shared" ref="D45:I45" si="14">D41+D43-D44</f>
        <v>3427.81</v>
      </c>
      <c r="E45" s="52">
        <f t="shared" si="14"/>
        <v>3330.0036</v>
      </c>
      <c r="F45" s="52">
        <f t="shared" si="14"/>
        <v>3421.954032</v>
      </c>
      <c r="G45" s="52">
        <f t="shared" si="14"/>
        <v>3516.503983</v>
      </c>
      <c r="H45" s="52">
        <f t="shared" si="14"/>
        <v>3613.72826</v>
      </c>
      <c r="I45" s="52">
        <f t="shared" si="14"/>
        <v>3713.703848</v>
      </c>
      <c r="J45" s="48" t="s">
        <v>289</v>
      </c>
    </row>
    <row r="46">
      <c r="A46" s="48" t="s">
        <v>281</v>
      </c>
      <c r="B46" s="48" t="s">
        <v>114</v>
      </c>
      <c r="C46" s="48" t="s">
        <v>18</v>
      </c>
      <c r="D46" s="48">
        <v>0.0</v>
      </c>
      <c r="E46" s="48">
        <v>0.5</v>
      </c>
      <c r="F46" s="48">
        <v>1.5</v>
      </c>
      <c r="G46" s="48">
        <v>2.5</v>
      </c>
      <c r="H46" s="48">
        <v>3.5</v>
      </c>
      <c r="I46" s="48">
        <v>4.5</v>
      </c>
      <c r="J46" s="48" t="s">
        <v>292</v>
      </c>
    </row>
    <row r="47">
      <c r="A47" s="48" t="s">
        <v>35</v>
      </c>
      <c r="B47" s="48" t="s">
        <v>115</v>
      </c>
      <c r="C47" s="48" t="s">
        <v>18</v>
      </c>
      <c r="D47" s="66">
        <f>1</f>
        <v>1</v>
      </c>
      <c r="E47" s="66">
        <f t="shared" ref="E47:I47" si="15">1/(1+$C$23)^E46</f>
        <v>0.9556369651</v>
      </c>
      <c r="F47" s="66">
        <f t="shared" si="15"/>
        <v>0.872727822</v>
      </c>
      <c r="G47" s="66">
        <f t="shared" si="15"/>
        <v>0.7970117096</v>
      </c>
      <c r="H47" s="66">
        <f t="shared" si="15"/>
        <v>0.727864575</v>
      </c>
      <c r="I47" s="66">
        <f t="shared" si="15"/>
        <v>0.6647165069</v>
      </c>
      <c r="J47" s="48" t="s">
        <v>295</v>
      </c>
    </row>
    <row r="48">
      <c r="A48" s="48" t="s">
        <v>35</v>
      </c>
      <c r="B48" s="48" t="s">
        <v>363</v>
      </c>
      <c r="C48" s="48" t="s">
        <v>18</v>
      </c>
      <c r="D48" s="52">
        <f t="shared" ref="D48:I48" si="16">D45*D47</f>
        <v>3427.81</v>
      </c>
      <c r="E48" s="52">
        <f t="shared" si="16"/>
        <v>3182.274534</v>
      </c>
      <c r="F48" s="52">
        <f t="shared" si="16"/>
        <v>2986.434489</v>
      </c>
      <c r="G48" s="52">
        <f t="shared" si="16"/>
        <v>2802.694852</v>
      </c>
      <c r="H48" s="52">
        <f t="shared" si="16"/>
        <v>2630.304784</v>
      </c>
      <c r="I48" s="52">
        <f t="shared" si="16"/>
        <v>2468.560249</v>
      </c>
      <c r="J48" s="48" t="s">
        <v>298</v>
      </c>
    </row>
    <row r="49">
      <c r="A49" s="48" t="s">
        <v>286</v>
      </c>
      <c r="B49" s="48" t="s">
        <v>287</v>
      </c>
      <c r="C49" s="52">
        <f>SUM(E48:I48)</f>
        <v>14070.26891</v>
      </c>
      <c r="D49" s="48" t="s">
        <v>288</v>
      </c>
      <c r="E49" s="48" t="s">
        <v>35</v>
      </c>
      <c r="F49" s="48" t="s">
        <v>35</v>
      </c>
      <c r="G49" s="48" t="s">
        <v>35</v>
      </c>
      <c r="H49" s="48" t="s">
        <v>35</v>
      </c>
      <c r="I49" s="48" t="s">
        <v>301</v>
      </c>
      <c r="J49" s="48"/>
    </row>
    <row r="50">
      <c r="A50" s="48" t="s">
        <v>35</v>
      </c>
      <c r="B50" s="48" t="s">
        <v>290</v>
      </c>
      <c r="C50" s="52">
        <f>(I45*(1+$C$24))/($C$23-$C$24)</f>
        <v>50506.37233</v>
      </c>
      <c r="D50" s="48" t="s">
        <v>364</v>
      </c>
      <c r="E50" s="48" t="s">
        <v>35</v>
      </c>
      <c r="F50" s="48" t="s">
        <v>35</v>
      </c>
      <c r="G50" s="48" t="s">
        <v>35</v>
      </c>
      <c r="H50" s="48" t="s">
        <v>35</v>
      </c>
      <c r="I50" s="48" t="s">
        <v>304</v>
      </c>
      <c r="J50" s="48"/>
    </row>
    <row r="51">
      <c r="A51" s="48" t="s">
        <v>35</v>
      </c>
      <c r="B51" s="48" t="s">
        <v>293</v>
      </c>
      <c r="C51" s="52">
        <f>C50*I47</f>
        <v>33572.41939</v>
      </c>
      <c r="D51" s="48" t="s">
        <v>294</v>
      </c>
      <c r="E51" s="48" t="s">
        <v>35</v>
      </c>
      <c r="F51" s="48" t="s">
        <v>35</v>
      </c>
      <c r="G51" s="48" t="s">
        <v>35</v>
      </c>
      <c r="H51" s="48" t="s">
        <v>35</v>
      </c>
      <c r="I51" s="48" t="s">
        <v>307</v>
      </c>
      <c r="J51" s="48"/>
    </row>
    <row r="52">
      <c r="A52" s="48" t="s">
        <v>35</v>
      </c>
      <c r="B52" s="48" t="s">
        <v>365</v>
      </c>
      <c r="C52" s="48">
        <f>$C$22</f>
        <v>-8800</v>
      </c>
      <c r="D52" s="48" t="s">
        <v>503</v>
      </c>
      <c r="E52" s="48" t="s">
        <v>35</v>
      </c>
      <c r="F52" s="48" t="s">
        <v>35</v>
      </c>
      <c r="G52" s="48" t="s">
        <v>35</v>
      </c>
      <c r="H52" s="48" t="s">
        <v>35</v>
      </c>
      <c r="I52" s="48" t="s">
        <v>367</v>
      </c>
      <c r="J52" s="48"/>
    </row>
    <row r="53">
      <c r="A53" s="48" t="s">
        <v>35</v>
      </c>
      <c r="B53" s="48" t="s">
        <v>299</v>
      </c>
      <c r="C53" s="52">
        <f>SUM(C49,C51,C52)</f>
        <v>38842.6883</v>
      </c>
      <c r="D53" s="48" t="s">
        <v>368</v>
      </c>
      <c r="E53" s="48" t="s">
        <v>35</v>
      </c>
      <c r="F53" s="48" t="s">
        <v>35</v>
      </c>
      <c r="G53" s="48" t="s">
        <v>35</v>
      </c>
      <c r="H53" s="48" t="s">
        <v>35</v>
      </c>
      <c r="I53" s="48" t="s">
        <v>369</v>
      </c>
      <c r="J53" s="48"/>
    </row>
    <row r="54">
      <c r="A54" s="48" t="s">
        <v>35</v>
      </c>
      <c r="B54" s="48" t="s">
        <v>302</v>
      </c>
      <c r="C54" s="48">
        <f>$C$20</f>
        <v>107</v>
      </c>
      <c r="D54" s="48" t="s">
        <v>370</v>
      </c>
      <c r="E54" s="48" t="s">
        <v>35</v>
      </c>
      <c r="F54" s="48" t="s">
        <v>35</v>
      </c>
      <c r="G54" s="48" t="s">
        <v>35</v>
      </c>
      <c r="H54" s="48" t="s">
        <v>35</v>
      </c>
      <c r="I54" s="48" t="s">
        <v>371</v>
      </c>
      <c r="J54" s="48"/>
    </row>
    <row r="55">
      <c r="A55" s="48" t="s">
        <v>35</v>
      </c>
      <c r="B55" s="48" t="s">
        <v>305</v>
      </c>
      <c r="C55" s="52">
        <f>C53/C54</f>
        <v>363.0157785</v>
      </c>
      <c r="D55" s="48" t="s">
        <v>306</v>
      </c>
      <c r="E55" s="48" t="s">
        <v>35</v>
      </c>
      <c r="F55" s="48" t="s">
        <v>35</v>
      </c>
      <c r="G55" s="48" t="s">
        <v>35</v>
      </c>
      <c r="H55" s="48" t="s">
        <v>35</v>
      </c>
      <c r="I55" s="48" t="s">
        <v>372</v>
      </c>
      <c r="J55" s="48"/>
    </row>
    <row r="59">
      <c r="A59" s="48" t="s">
        <v>504</v>
      </c>
    </row>
  </sheetData>
  <conditionalFormatting sqref="A1:A55">
    <cfRule type="notContainsBlanks" dxfId="0" priority="1">
      <formula>LEN(TRIM(A1))&gt;0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c r="CQ1" s="77"/>
      <c r="CR1" s="77"/>
      <c r="CS1" s="77"/>
      <c r="CT1" s="77"/>
      <c r="CU1" s="77"/>
      <c r="CV1" s="77"/>
      <c r="CW1" s="77"/>
      <c r="CX1" s="77"/>
      <c r="CY1" s="77"/>
      <c r="CZ1" s="77"/>
      <c r="DA1" s="77"/>
      <c r="DB1" s="77"/>
      <c r="DC1" s="77"/>
      <c r="DD1" s="77"/>
      <c r="DE1" s="77"/>
      <c r="DF1" s="77"/>
      <c r="DG1" s="77"/>
      <c r="DH1" s="77"/>
      <c r="DI1" s="77"/>
      <c r="DJ1" s="77"/>
      <c r="DK1" s="77"/>
      <c r="DL1" s="77"/>
      <c r="DM1" s="77"/>
      <c r="DN1" s="77"/>
      <c r="DO1" s="77"/>
      <c r="DP1" s="77"/>
      <c r="DQ1" s="77"/>
      <c r="DR1" s="77"/>
      <c r="DS1" s="77"/>
      <c r="DT1" s="77"/>
      <c r="DU1" s="77"/>
      <c r="DV1" s="77"/>
      <c r="DW1" s="77"/>
      <c r="DX1" s="77"/>
      <c r="DY1" s="77"/>
      <c r="DZ1" s="77"/>
      <c r="EA1" s="77"/>
      <c r="EB1" s="77"/>
      <c r="EC1" s="77"/>
      <c r="ED1" s="77"/>
      <c r="EE1" s="77"/>
      <c r="EF1" s="77"/>
      <c r="EG1" s="77"/>
      <c r="EH1" s="77"/>
      <c r="EI1" s="77"/>
      <c r="EJ1" s="77"/>
      <c r="EK1" s="77"/>
      <c r="EL1" s="77"/>
      <c r="EM1" s="77"/>
      <c r="EN1" s="77"/>
      <c r="EO1" s="77"/>
      <c r="EP1" s="77"/>
      <c r="EQ1" s="77"/>
      <c r="ER1" s="77"/>
      <c r="ES1" s="77"/>
      <c r="ET1" s="77"/>
      <c r="EU1" s="77"/>
      <c r="EV1" s="77"/>
      <c r="EW1" s="77"/>
      <c r="EX1" s="77"/>
      <c r="EY1" s="77"/>
      <c r="EZ1" s="77"/>
      <c r="FA1" s="77"/>
      <c r="FB1" s="77"/>
      <c r="FC1" s="77"/>
      <c r="FD1" s="77"/>
      <c r="FE1" s="77"/>
      <c r="FF1" s="77"/>
      <c r="FG1" s="77"/>
      <c r="FH1" s="77"/>
      <c r="FI1" s="77"/>
      <c r="FJ1" s="77"/>
      <c r="FK1" s="77"/>
      <c r="FL1" s="77"/>
      <c r="FM1" s="77"/>
      <c r="FN1" s="77"/>
      <c r="FO1" s="77"/>
      <c r="FP1" s="77"/>
      <c r="FQ1" s="77"/>
      <c r="FR1" s="77"/>
      <c r="FS1" s="77"/>
      <c r="FT1" s="77"/>
      <c r="FU1" s="77"/>
      <c r="FV1" s="77"/>
      <c r="FW1" s="77"/>
      <c r="FX1" s="77"/>
      <c r="FY1" s="77"/>
      <c r="FZ1" s="77"/>
      <c r="GA1" s="77"/>
      <c r="GB1" s="77"/>
      <c r="GC1" s="77"/>
      <c r="GD1" s="77"/>
      <c r="GE1" s="77"/>
      <c r="GF1" s="77"/>
      <c r="GG1" s="77"/>
      <c r="GH1" s="77"/>
      <c r="GI1" s="77"/>
      <c r="GJ1" s="77"/>
      <c r="GK1" s="77"/>
      <c r="GL1" s="77"/>
      <c r="GM1" s="77"/>
      <c r="GN1" s="77"/>
      <c r="GO1" s="77"/>
      <c r="GP1" s="77"/>
      <c r="GQ1" s="77"/>
      <c r="GR1" s="77"/>
      <c r="GS1" s="77"/>
      <c r="GT1" s="77"/>
      <c r="GU1" s="77"/>
      <c r="GV1" s="77"/>
      <c r="GW1" s="77"/>
      <c r="GX1" s="77"/>
      <c r="GY1" s="77"/>
      <c r="GZ1" s="77"/>
      <c r="HA1" s="77"/>
      <c r="HB1" s="77"/>
      <c r="HC1" s="77"/>
      <c r="HD1" s="77"/>
      <c r="HE1" s="77"/>
      <c r="HF1" s="77"/>
      <c r="HG1" s="77"/>
      <c r="HH1" s="77"/>
      <c r="HI1" s="77"/>
      <c r="HJ1" s="77"/>
      <c r="HK1" s="77"/>
      <c r="HL1" s="77"/>
      <c r="HM1" s="77"/>
      <c r="HN1" s="77"/>
      <c r="HO1" s="77"/>
      <c r="HP1" s="77"/>
      <c r="HQ1" s="77"/>
      <c r="HR1" s="77"/>
      <c r="HS1" s="77"/>
      <c r="HT1" s="77"/>
      <c r="HU1" s="77"/>
      <c r="HV1" s="77"/>
      <c r="HW1" s="77"/>
      <c r="HX1" s="77"/>
      <c r="HY1" s="77"/>
      <c r="HZ1" s="77"/>
      <c r="IA1" s="77"/>
      <c r="IB1" s="77"/>
      <c r="IC1" s="77"/>
      <c r="ID1" s="77"/>
      <c r="IE1" s="77"/>
      <c r="IF1" s="77"/>
      <c r="IG1" s="77"/>
      <c r="IH1" s="77"/>
      <c r="II1" s="77"/>
      <c r="IJ1" s="77"/>
      <c r="IK1" s="77"/>
      <c r="IL1" s="77"/>
      <c r="IM1" s="77"/>
      <c r="IN1" s="77"/>
      <c r="IO1" s="77"/>
      <c r="IP1" s="77"/>
      <c r="IQ1" s="77"/>
      <c r="IR1" s="77"/>
      <c r="IS1" s="77"/>
      <c r="IT1" s="77"/>
      <c r="IU1" s="77"/>
      <c r="IV1" s="77"/>
      <c r="IW1" s="77"/>
      <c r="IX1" s="77"/>
      <c r="IY1" s="77"/>
      <c r="IZ1" s="77"/>
      <c r="JA1" s="77"/>
      <c r="JB1" s="77"/>
      <c r="JC1" s="77"/>
      <c r="JD1" s="77"/>
      <c r="JE1" s="77"/>
      <c r="JF1" s="77"/>
      <c r="JG1" s="77"/>
      <c r="JH1" s="77"/>
      <c r="JI1" s="77"/>
      <c r="JJ1" s="77"/>
      <c r="JK1" s="77"/>
      <c r="JL1" s="77"/>
      <c r="JM1" s="77"/>
      <c r="JN1" s="77"/>
      <c r="JO1" s="77"/>
      <c r="JP1" s="77"/>
      <c r="JQ1" s="77"/>
      <c r="JR1" s="77"/>
      <c r="JS1" s="77"/>
      <c r="JT1" s="77"/>
      <c r="JU1" s="77"/>
      <c r="JV1" s="77"/>
      <c r="JW1" s="77"/>
      <c r="JX1" s="77"/>
      <c r="JY1" s="77"/>
      <c r="JZ1" s="77"/>
      <c r="KA1" s="77"/>
      <c r="KB1" s="77"/>
      <c r="KC1" s="77"/>
      <c r="KD1" s="77"/>
      <c r="KE1" s="77"/>
      <c r="KF1" s="77"/>
      <c r="KG1" s="77"/>
      <c r="KH1" s="77"/>
      <c r="KI1" s="77"/>
      <c r="KJ1" s="77"/>
      <c r="KK1" s="77"/>
      <c r="KL1" s="77"/>
      <c r="KM1" s="77"/>
      <c r="KN1" s="77"/>
      <c r="KO1" s="77"/>
      <c r="KP1" s="77"/>
      <c r="KQ1" s="77"/>
      <c r="KR1" s="77"/>
      <c r="KS1" s="77"/>
      <c r="KT1" s="77"/>
      <c r="KU1" s="77"/>
      <c r="KV1" s="77"/>
      <c r="KW1" s="77"/>
      <c r="KX1" s="77"/>
      <c r="KY1" s="77"/>
      <c r="KZ1" s="77"/>
      <c r="LA1" s="77"/>
      <c r="LB1" s="77"/>
      <c r="LC1" s="77"/>
      <c r="LD1" s="77"/>
      <c r="LE1" s="77"/>
      <c r="LF1" s="77"/>
      <c r="LG1" s="77"/>
      <c r="LH1" s="77"/>
      <c r="LI1" s="77"/>
      <c r="LJ1" s="77"/>
      <c r="LK1" s="77"/>
      <c r="LL1" s="77"/>
      <c r="LM1" s="77"/>
      <c r="LN1" s="77"/>
      <c r="LO1" s="77"/>
      <c r="LP1" s="77"/>
      <c r="LQ1" s="77"/>
      <c r="LR1" s="77"/>
      <c r="LS1" s="77"/>
      <c r="LT1" s="77"/>
      <c r="LU1" s="77"/>
      <c r="LV1" s="77"/>
      <c r="LW1" s="77"/>
      <c r="LX1" s="77"/>
      <c r="LY1" s="77"/>
      <c r="LZ1" s="77"/>
      <c r="MA1" s="77"/>
      <c r="MB1" s="77"/>
      <c r="MC1" s="77"/>
      <c r="MD1" s="77"/>
      <c r="ME1" s="77"/>
      <c r="MF1" s="77"/>
      <c r="MG1" s="77"/>
      <c r="MH1" s="77"/>
      <c r="MI1" s="77"/>
      <c r="MJ1" s="77"/>
      <c r="MK1" s="77"/>
      <c r="ML1" s="77"/>
      <c r="MM1" s="77"/>
      <c r="MN1" s="77"/>
      <c r="MO1" s="77"/>
      <c r="MP1" s="77"/>
      <c r="MQ1" s="77"/>
      <c r="MR1" s="77"/>
      <c r="MS1" s="77"/>
      <c r="MT1" s="77"/>
      <c r="MU1" s="77"/>
      <c r="MV1" s="77"/>
      <c r="MW1" s="77"/>
    </row>
    <row r="2">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c r="EA2" s="78"/>
      <c r="EB2" s="78"/>
      <c r="EC2" s="78"/>
      <c r="ED2" s="78"/>
      <c r="EE2" s="78"/>
      <c r="EF2" s="78"/>
      <c r="EG2" s="78"/>
      <c r="EH2" s="78"/>
      <c r="EI2" s="78"/>
      <c r="EJ2" s="78"/>
      <c r="EK2" s="78"/>
      <c r="EL2" s="78"/>
      <c r="EM2" s="78"/>
      <c r="EN2" s="78"/>
      <c r="EO2" s="78"/>
      <c r="EP2" s="78"/>
      <c r="EQ2" s="78"/>
      <c r="ER2" s="78"/>
      <c r="ES2" s="78"/>
      <c r="ET2" s="78"/>
      <c r="EU2" s="78"/>
      <c r="EV2" s="78"/>
      <c r="EW2" s="78"/>
      <c r="EX2" s="78"/>
      <c r="EY2" s="78"/>
      <c r="EZ2" s="78"/>
      <c r="FA2" s="78"/>
      <c r="FB2" s="78"/>
      <c r="FC2" s="78"/>
      <c r="FD2" s="78"/>
      <c r="FE2" s="78"/>
      <c r="FF2" s="78"/>
      <c r="FG2" s="78"/>
      <c r="FH2" s="78"/>
      <c r="FI2" s="78"/>
      <c r="FJ2" s="78"/>
      <c r="FK2" s="78"/>
      <c r="FL2" s="78"/>
      <c r="FM2" s="78"/>
      <c r="FN2" s="78"/>
      <c r="FO2" s="78"/>
      <c r="FP2" s="78"/>
      <c r="FQ2" s="78"/>
      <c r="FR2" s="78"/>
      <c r="FS2" s="78"/>
      <c r="FT2" s="78"/>
      <c r="FU2" s="78"/>
      <c r="FV2" s="78"/>
      <c r="FW2" s="78"/>
      <c r="FX2" s="78"/>
      <c r="FY2" s="78"/>
      <c r="FZ2" s="78"/>
      <c r="GA2" s="78"/>
      <c r="GB2" s="78"/>
      <c r="GC2" s="78"/>
      <c r="GD2" s="78"/>
      <c r="GE2" s="78"/>
      <c r="GF2" s="78"/>
      <c r="GG2" s="78"/>
      <c r="GH2" s="78"/>
      <c r="GI2" s="78"/>
      <c r="GJ2" s="78"/>
      <c r="GK2" s="78"/>
      <c r="GL2" s="78"/>
      <c r="GM2" s="78"/>
      <c r="GN2" s="78"/>
      <c r="GO2" s="78"/>
      <c r="GP2" s="78"/>
      <c r="GQ2" s="78"/>
      <c r="GR2" s="78"/>
      <c r="GS2" s="78"/>
      <c r="GT2" s="78"/>
      <c r="GU2" s="78"/>
      <c r="GV2" s="78"/>
      <c r="GW2" s="78"/>
      <c r="GX2" s="78"/>
      <c r="GY2" s="78"/>
      <c r="GZ2" s="78"/>
      <c r="HA2" s="78"/>
      <c r="HB2" s="78"/>
      <c r="HC2" s="78"/>
      <c r="HD2" s="78"/>
      <c r="HE2" s="78"/>
      <c r="HF2" s="78"/>
      <c r="HG2" s="78"/>
      <c r="HH2" s="78"/>
      <c r="HI2" s="78"/>
      <c r="HJ2" s="78"/>
      <c r="HK2" s="78"/>
      <c r="HL2" s="78"/>
      <c r="HM2" s="78"/>
      <c r="HN2" s="78"/>
      <c r="HO2" s="78"/>
      <c r="HP2" s="78"/>
      <c r="HQ2" s="78"/>
      <c r="HR2" s="78"/>
      <c r="HS2" s="78"/>
      <c r="HT2" s="78"/>
      <c r="HU2" s="78"/>
      <c r="HV2" s="78"/>
      <c r="HW2" s="78"/>
      <c r="HX2" s="78"/>
      <c r="HY2" s="78"/>
      <c r="HZ2" s="78"/>
      <c r="IA2" s="78"/>
      <c r="IB2" s="78"/>
      <c r="IC2" s="78"/>
      <c r="ID2" s="78"/>
      <c r="IE2" s="78"/>
      <c r="IF2" s="78"/>
      <c r="IG2" s="78"/>
      <c r="IH2" s="78"/>
      <c r="II2" s="78"/>
      <c r="IJ2" s="78"/>
      <c r="IK2" s="78"/>
      <c r="IL2" s="78"/>
      <c r="IM2" s="78"/>
      <c r="IN2" s="78"/>
      <c r="IO2" s="78"/>
      <c r="IP2" s="78"/>
      <c r="IQ2" s="78"/>
      <c r="IR2" s="78"/>
      <c r="IS2" s="78"/>
      <c r="IT2" s="78"/>
      <c r="IU2" s="78"/>
      <c r="IV2" s="78"/>
      <c r="IW2" s="78"/>
      <c r="IX2" s="78"/>
      <c r="IY2" s="78"/>
      <c r="IZ2" s="78"/>
      <c r="JA2" s="78"/>
      <c r="JB2" s="78"/>
      <c r="JC2" s="78"/>
      <c r="JD2" s="78"/>
      <c r="JE2" s="78"/>
      <c r="JF2" s="78"/>
      <c r="JG2" s="78"/>
      <c r="JH2" s="78"/>
      <c r="JI2" s="78"/>
      <c r="JJ2" s="78"/>
      <c r="JK2" s="78"/>
      <c r="JL2" s="78"/>
      <c r="JM2" s="78"/>
      <c r="JN2" s="78"/>
      <c r="JO2" s="78"/>
      <c r="JP2" s="78"/>
      <c r="JQ2" s="78"/>
      <c r="JR2" s="78"/>
      <c r="JS2" s="78"/>
      <c r="JT2" s="78"/>
      <c r="JU2" s="78"/>
      <c r="JV2" s="78"/>
      <c r="JW2" s="78"/>
      <c r="JX2" s="78"/>
      <c r="JY2" s="78"/>
      <c r="JZ2" s="78"/>
      <c r="KA2" s="78"/>
      <c r="KB2" s="78"/>
      <c r="KC2" s="78"/>
      <c r="KD2" s="78"/>
      <c r="KE2" s="78"/>
      <c r="KF2" s="78"/>
      <c r="KG2" s="78"/>
      <c r="KH2" s="78"/>
      <c r="KI2" s="78"/>
      <c r="KJ2" s="78"/>
      <c r="KK2" s="78"/>
      <c r="KL2" s="78"/>
      <c r="KM2" s="78"/>
      <c r="KN2" s="78"/>
      <c r="KO2" s="78"/>
      <c r="KP2" s="78"/>
      <c r="KQ2" s="78"/>
      <c r="KR2" s="78"/>
      <c r="KS2" s="78"/>
      <c r="KT2" s="78"/>
      <c r="KU2" s="78"/>
      <c r="KV2" s="78"/>
      <c r="KW2" s="78"/>
      <c r="KX2" s="78"/>
      <c r="KY2" s="78"/>
      <c r="KZ2" s="78"/>
      <c r="LA2" s="78"/>
      <c r="LB2" s="78"/>
      <c r="LC2" s="78"/>
      <c r="LD2" s="78"/>
      <c r="LE2" s="78"/>
      <c r="LF2" s="78"/>
      <c r="LG2" s="78"/>
      <c r="LH2" s="78"/>
      <c r="LI2" s="78"/>
      <c r="LJ2" s="78"/>
      <c r="LK2" s="78"/>
      <c r="LL2" s="78"/>
      <c r="LM2" s="78"/>
      <c r="LN2" s="78"/>
      <c r="LO2" s="78"/>
      <c r="LP2" s="78"/>
      <c r="LQ2" s="78"/>
      <c r="LR2" s="78"/>
      <c r="LS2" s="78"/>
      <c r="LT2" s="78"/>
      <c r="LU2" s="78"/>
      <c r="LV2" s="78"/>
      <c r="LW2" s="78"/>
      <c r="LX2" s="78"/>
      <c r="LY2" s="78"/>
      <c r="LZ2" s="78"/>
      <c r="MA2" s="78"/>
      <c r="MB2" s="78"/>
      <c r="MC2" s="78"/>
      <c r="MD2" s="78"/>
      <c r="ME2" s="78"/>
      <c r="MF2" s="78"/>
      <c r="MG2" s="78"/>
      <c r="MH2" s="78"/>
      <c r="MI2" s="78"/>
      <c r="MJ2" s="78"/>
      <c r="MK2" s="78"/>
      <c r="ML2" s="78"/>
      <c r="MM2" s="78"/>
      <c r="MN2" s="78"/>
      <c r="MO2" s="78"/>
      <c r="MP2" s="78"/>
      <c r="MQ2" s="78"/>
      <c r="MR2" s="78"/>
      <c r="MS2" s="78"/>
      <c r="MT2" s="78"/>
      <c r="MU2" s="78"/>
      <c r="MV2" s="78"/>
      <c r="MW2" s="78"/>
    </row>
    <row r="3">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c r="EA3" s="79"/>
      <c r="EB3" s="79"/>
      <c r="EC3" s="79"/>
      <c r="ED3" s="79"/>
      <c r="EE3" s="79"/>
      <c r="EF3" s="79"/>
      <c r="EG3" s="79"/>
      <c r="EH3" s="79"/>
      <c r="EI3" s="79"/>
      <c r="EJ3" s="79"/>
      <c r="EK3" s="79"/>
      <c r="EL3" s="79"/>
      <c r="EM3" s="79"/>
      <c r="EN3" s="79"/>
      <c r="EO3" s="79"/>
      <c r="EP3" s="79"/>
      <c r="EQ3" s="79"/>
      <c r="ER3" s="79"/>
      <c r="ES3" s="79"/>
      <c r="ET3" s="79"/>
      <c r="EU3" s="79"/>
      <c r="EV3" s="79"/>
      <c r="EW3" s="79"/>
      <c r="EX3" s="79"/>
      <c r="EY3" s="79"/>
      <c r="EZ3" s="79"/>
      <c r="FA3" s="79"/>
      <c r="FB3" s="79"/>
      <c r="FC3" s="79"/>
      <c r="FD3" s="79"/>
      <c r="FE3" s="79"/>
      <c r="FF3" s="79"/>
      <c r="FG3" s="79"/>
      <c r="FH3" s="79"/>
      <c r="FI3" s="79"/>
      <c r="FJ3" s="79"/>
      <c r="FK3" s="79"/>
      <c r="FL3" s="79"/>
      <c r="FM3" s="79"/>
      <c r="FN3" s="79"/>
      <c r="FO3" s="79"/>
      <c r="FP3" s="79"/>
      <c r="FQ3" s="79"/>
      <c r="FR3" s="79"/>
      <c r="FS3" s="79"/>
      <c r="FT3" s="79"/>
      <c r="FU3" s="79"/>
      <c r="FV3" s="79"/>
      <c r="FW3" s="79"/>
      <c r="FX3" s="79"/>
      <c r="FY3" s="79"/>
      <c r="FZ3" s="79"/>
      <c r="GA3" s="79"/>
      <c r="GB3" s="79"/>
      <c r="GC3" s="79"/>
      <c r="GD3" s="79"/>
      <c r="GE3" s="79"/>
      <c r="GF3" s="79"/>
      <c r="GG3" s="79"/>
      <c r="GH3" s="79"/>
      <c r="GI3" s="79"/>
      <c r="GJ3" s="79"/>
      <c r="GK3" s="79"/>
      <c r="GL3" s="79"/>
      <c r="GM3" s="79"/>
      <c r="GN3" s="79"/>
      <c r="GO3" s="79"/>
      <c r="GP3" s="79"/>
      <c r="GQ3" s="79"/>
      <c r="GR3" s="79"/>
      <c r="GS3" s="79"/>
      <c r="GT3" s="79"/>
      <c r="GU3" s="79"/>
      <c r="GV3" s="79"/>
      <c r="GW3" s="79"/>
      <c r="GX3" s="79"/>
      <c r="GY3" s="79"/>
      <c r="GZ3" s="79"/>
      <c r="HA3" s="79"/>
      <c r="HB3" s="79"/>
      <c r="HC3" s="79"/>
      <c r="HD3" s="79"/>
      <c r="HE3" s="79"/>
      <c r="HF3" s="79"/>
      <c r="HG3" s="79"/>
      <c r="HH3" s="79"/>
      <c r="HI3" s="79"/>
      <c r="HJ3" s="79"/>
      <c r="HK3" s="79"/>
      <c r="HL3" s="79"/>
      <c r="HM3" s="79"/>
      <c r="HN3" s="79"/>
      <c r="HO3" s="79"/>
      <c r="HP3" s="79"/>
      <c r="HQ3" s="79"/>
      <c r="HR3" s="79"/>
      <c r="HS3" s="79"/>
      <c r="HT3" s="79"/>
      <c r="HU3" s="79"/>
      <c r="HV3" s="79"/>
      <c r="HW3" s="79"/>
      <c r="HX3" s="79"/>
      <c r="HY3" s="79"/>
      <c r="HZ3" s="79"/>
      <c r="IA3" s="79"/>
      <c r="IB3" s="79"/>
      <c r="IC3" s="79"/>
      <c r="ID3" s="79"/>
      <c r="IE3" s="79"/>
      <c r="IF3" s="79"/>
      <c r="IG3" s="79"/>
      <c r="IH3" s="79"/>
      <c r="II3" s="79"/>
      <c r="IJ3" s="79"/>
      <c r="IK3" s="79"/>
      <c r="IL3" s="79"/>
      <c r="IM3" s="79"/>
      <c r="IN3" s="79"/>
      <c r="IO3" s="79"/>
      <c r="IP3" s="79"/>
      <c r="IQ3" s="79"/>
      <c r="IR3" s="79"/>
      <c r="IS3" s="79"/>
      <c r="IT3" s="79"/>
      <c r="IU3" s="79"/>
      <c r="IV3" s="79"/>
      <c r="IW3" s="79"/>
      <c r="IX3" s="79"/>
      <c r="IY3" s="79"/>
      <c r="IZ3" s="79"/>
      <c r="JA3" s="79"/>
      <c r="JB3" s="79"/>
      <c r="JC3" s="79"/>
      <c r="JD3" s="79"/>
      <c r="JE3" s="79"/>
      <c r="JF3" s="79"/>
      <c r="JG3" s="79"/>
      <c r="JH3" s="79"/>
      <c r="JI3" s="79"/>
      <c r="JJ3" s="79"/>
      <c r="JK3" s="79"/>
      <c r="JL3" s="79"/>
      <c r="JM3" s="79"/>
      <c r="JN3" s="79"/>
      <c r="JO3" s="79"/>
      <c r="JP3" s="79"/>
      <c r="JQ3" s="79"/>
      <c r="JR3" s="79"/>
      <c r="JS3" s="79"/>
      <c r="JT3" s="79"/>
      <c r="JU3" s="79"/>
      <c r="JV3" s="79"/>
      <c r="JW3" s="79"/>
      <c r="JX3" s="79"/>
      <c r="JY3" s="79"/>
      <c r="JZ3" s="79"/>
      <c r="KA3" s="79"/>
      <c r="KB3" s="79"/>
      <c r="KC3" s="79"/>
      <c r="KD3" s="79"/>
      <c r="KE3" s="79"/>
      <c r="KF3" s="79"/>
      <c r="KG3" s="79"/>
      <c r="KH3" s="79"/>
      <c r="KI3" s="79"/>
      <c r="KJ3" s="79"/>
      <c r="KK3" s="79"/>
      <c r="KL3" s="79"/>
      <c r="KM3" s="79"/>
      <c r="KN3" s="79"/>
      <c r="KO3" s="79"/>
      <c r="KP3" s="79"/>
      <c r="KQ3" s="79"/>
      <c r="KR3" s="79"/>
      <c r="KS3" s="79"/>
      <c r="KT3" s="79"/>
      <c r="KU3" s="79"/>
      <c r="KV3" s="79"/>
      <c r="KW3" s="79"/>
      <c r="KX3" s="79"/>
      <c r="KY3" s="79"/>
      <c r="KZ3" s="79"/>
      <c r="LA3" s="79"/>
      <c r="LB3" s="79"/>
      <c r="LC3" s="79"/>
      <c r="LD3" s="79"/>
      <c r="LE3" s="79"/>
      <c r="LF3" s="79"/>
      <c r="LG3" s="79"/>
      <c r="LH3" s="79"/>
      <c r="LI3" s="79"/>
      <c r="LJ3" s="79"/>
      <c r="LK3" s="79"/>
      <c r="LL3" s="79"/>
      <c r="LM3" s="79"/>
      <c r="LN3" s="79"/>
      <c r="LO3" s="79"/>
      <c r="LP3" s="79"/>
      <c r="LQ3" s="79"/>
      <c r="LR3" s="79"/>
      <c r="LS3" s="79"/>
      <c r="LT3" s="79"/>
      <c r="LU3" s="79"/>
      <c r="LV3" s="79"/>
      <c r="LW3" s="79"/>
      <c r="LX3" s="79"/>
      <c r="LY3" s="79"/>
      <c r="LZ3" s="79"/>
      <c r="MA3" s="79"/>
      <c r="MB3" s="79"/>
      <c r="MC3" s="79"/>
      <c r="MD3" s="79"/>
      <c r="ME3" s="79"/>
      <c r="MF3" s="79"/>
      <c r="MG3" s="79"/>
      <c r="MH3" s="79"/>
      <c r="MI3" s="79"/>
      <c r="MJ3" s="79"/>
      <c r="MK3" s="79"/>
      <c r="ML3" s="79"/>
      <c r="MM3" s="79"/>
      <c r="MN3" s="79"/>
      <c r="MO3" s="79"/>
      <c r="MP3" s="79"/>
      <c r="MQ3" s="79"/>
      <c r="MR3" s="79"/>
      <c r="MS3" s="79"/>
      <c r="MT3" s="79"/>
      <c r="MU3" s="79"/>
      <c r="MV3" s="79"/>
      <c r="MW3" s="79"/>
    </row>
    <row r="4">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c r="II4" s="78"/>
      <c r="IJ4" s="78"/>
      <c r="IK4" s="78"/>
      <c r="IL4" s="78"/>
      <c r="IM4" s="78"/>
      <c r="IN4" s="78"/>
      <c r="IO4" s="78"/>
      <c r="IP4" s="78"/>
      <c r="IQ4" s="78"/>
      <c r="IR4" s="78"/>
      <c r="IS4" s="78"/>
      <c r="IT4" s="78"/>
      <c r="IU4" s="78"/>
      <c r="IV4" s="78"/>
      <c r="IW4" s="78"/>
      <c r="IX4" s="78"/>
      <c r="IY4" s="78"/>
      <c r="IZ4" s="78"/>
      <c r="JA4" s="78"/>
      <c r="JB4" s="78"/>
      <c r="JC4" s="78"/>
      <c r="JD4" s="78"/>
      <c r="JE4" s="78"/>
      <c r="JF4" s="78"/>
      <c r="JG4" s="78"/>
      <c r="JH4" s="78"/>
      <c r="JI4" s="78"/>
      <c r="JJ4" s="78"/>
      <c r="JK4" s="78"/>
      <c r="JL4" s="78"/>
      <c r="JM4" s="78"/>
      <c r="JN4" s="78"/>
      <c r="JO4" s="78"/>
      <c r="JP4" s="78"/>
      <c r="JQ4" s="78"/>
      <c r="JR4" s="78"/>
      <c r="JS4" s="78"/>
      <c r="JT4" s="78"/>
      <c r="JU4" s="78"/>
      <c r="JV4" s="78"/>
      <c r="JW4" s="78"/>
      <c r="JX4" s="78"/>
      <c r="JY4" s="78"/>
      <c r="JZ4" s="78"/>
      <c r="KA4" s="78"/>
      <c r="KB4" s="78"/>
      <c r="KC4" s="78"/>
      <c r="KD4" s="78"/>
      <c r="KE4" s="78"/>
      <c r="KF4" s="78"/>
      <c r="KG4" s="78"/>
      <c r="KH4" s="78"/>
      <c r="KI4" s="78"/>
      <c r="KJ4" s="78"/>
      <c r="KK4" s="78"/>
      <c r="KL4" s="78"/>
      <c r="KM4" s="78"/>
      <c r="KN4" s="78"/>
      <c r="KO4" s="78"/>
      <c r="KP4" s="78"/>
      <c r="KQ4" s="78"/>
      <c r="KR4" s="78"/>
      <c r="KS4" s="78"/>
      <c r="KT4" s="78"/>
      <c r="KU4" s="78"/>
      <c r="KV4" s="78"/>
      <c r="KW4" s="78"/>
      <c r="KX4" s="78"/>
      <c r="KY4" s="78"/>
      <c r="KZ4" s="78"/>
      <c r="LA4" s="78"/>
      <c r="LB4" s="78"/>
      <c r="LC4" s="78"/>
      <c r="LD4" s="78"/>
      <c r="LE4" s="78"/>
      <c r="LF4" s="78"/>
      <c r="LG4" s="78"/>
      <c r="LH4" s="78"/>
      <c r="LI4" s="78"/>
      <c r="LJ4" s="78"/>
      <c r="LK4" s="78"/>
      <c r="LL4" s="78"/>
      <c r="LM4" s="78"/>
      <c r="LN4" s="78"/>
      <c r="LO4" s="78"/>
      <c r="LP4" s="78"/>
      <c r="LQ4" s="78"/>
      <c r="LR4" s="78"/>
      <c r="LS4" s="78"/>
      <c r="LT4" s="78"/>
      <c r="LU4" s="78"/>
      <c r="LV4" s="78"/>
      <c r="LW4" s="78"/>
      <c r="LX4" s="78"/>
      <c r="LY4" s="78"/>
      <c r="LZ4" s="78"/>
      <c r="MA4" s="78"/>
      <c r="MB4" s="78"/>
      <c r="MC4" s="78"/>
      <c r="MD4" s="78"/>
      <c r="ME4" s="78"/>
      <c r="MF4" s="78"/>
      <c r="MG4" s="78"/>
      <c r="MH4" s="78"/>
      <c r="MI4" s="78"/>
      <c r="MJ4" s="78"/>
      <c r="MK4" s="78"/>
      <c r="ML4" s="78"/>
      <c r="MM4" s="78"/>
      <c r="MN4" s="78"/>
      <c r="MO4" s="78"/>
      <c r="MP4" s="78"/>
      <c r="MQ4" s="78"/>
      <c r="MR4" s="78"/>
      <c r="MS4" s="78"/>
      <c r="MT4" s="78"/>
      <c r="MU4" s="78"/>
      <c r="MV4" s="78"/>
      <c r="MW4" s="78"/>
    </row>
    <row r="5">
      <c r="A5" s="79"/>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c r="BP5" s="79"/>
      <c r="BQ5" s="79"/>
      <c r="BR5" s="79"/>
      <c r="BS5" s="79"/>
      <c r="BT5" s="79"/>
      <c r="BU5" s="79"/>
      <c r="BV5" s="79"/>
      <c r="BW5" s="79"/>
      <c r="BX5" s="79"/>
      <c r="BY5" s="79"/>
      <c r="BZ5" s="79"/>
      <c r="CA5" s="79"/>
      <c r="CB5" s="79"/>
      <c r="CC5" s="79"/>
      <c r="CD5" s="79"/>
      <c r="CE5" s="79"/>
      <c r="CF5" s="79"/>
      <c r="CG5" s="79"/>
      <c r="CH5" s="79"/>
      <c r="CI5" s="79"/>
      <c r="CJ5" s="79"/>
      <c r="CK5" s="79"/>
      <c r="CL5" s="79"/>
      <c r="CM5" s="79"/>
      <c r="CN5" s="79"/>
      <c r="CO5" s="79"/>
      <c r="CP5" s="79"/>
      <c r="CQ5" s="79"/>
      <c r="CR5" s="79"/>
      <c r="CS5" s="79"/>
      <c r="CT5" s="79"/>
      <c r="CU5" s="79"/>
      <c r="CV5" s="79"/>
      <c r="CW5" s="79"/>
      <c r="CX5" s="79"/>
      <c r="CY5" s="79"/>
      <c r="CZ5" s="79"/>
      <c r="DA5" s="79"/>
      <c r="DB5" s="79"/>
      <c r="DC5" s="79"/>
      <c r="DD5" s="79"/>
      <c r="DE5" s="79"/>
      <c r="DF5" s="79"/>
      <c r="DG5" s="79"/>
      <c r="DH5" s="79"/>
      <c r="DI5" s="79"/>
      <c r="DJ5" s="79"/>
      <c r="DK5" s="79"/>
      <c r="DL5" s="79"/>
      <c r="DM5" s="79"/>
      <c r="DN5" s="79"/>
      <c r="DO5" s="79"/>
      <c r="DP5" s="79"/>
      <c r="DQ5" s="79"/>
      <c r="DR5" s="79"/>
      <c r="DS5" s="79"/>
      <c r="DT5" s="79"/>
      <c r="DU5" s="79"/>
      <c r="DV5" s="79"/>
      <c r="DW5" s="79"/>
      <c r="DX5" s="79"/>
      <c r="DY5" s="79"/>
      <c r="DZ5" s="79"/>
      <c r="EA5" s="79"/>
      <c r="EB5" s="79"/>
      <c r="EC5" s="79"/>
      <c r="ED5" s="79"/>
      <c r="EE5" s="79"/>
      <c r="EF5" s="79"/>
      <c r="EG5" s="79"/>
      <c r="EH5" s="79"/>
      <c r="EI5" s="79"/>
      <c r="EJ5" s="79"/>
      <c r="EK5" s="79"/>
      <c r="EL5" s="79"/>
      <c r="EM5" s="79"/>
      <c r="EN5" s="79"/>
      <c r="EO5" s="79"/>
      <c r="EP5" s="79"/>
      <c r="EQ5" s="79"/>
      <c r="ER5" s="79"/>
      <c r="ES5" s="79"/>
      <c r="ET5" s="79"/>
      <c r="EU5" s="79"/>
      <c r="EV5" s="79"/>
      <c r="EW5" s="79"/>
      <c r="EX5" s="79"/>
      <c r="EY5" s="79"/>
      <c r="EZ5" s="79"/>
      <c r="FA5" s="79"/>
      <c r="FB5" s="79"/>
      <c r="FC5" s="79"/>
      <c r="FD5" s="79"/>
      <c r="FE5" s="79"/>
      <c r="FF5" s="79"/>
      <c r="FG5" s="79"/>
      <c r="FH5" s="79"/>
      <c r="FI5" s="79"/>
      <c r="FJ5" s="79"/>
      <c r="FK5" s="79"/>
      <c r="FL5" s="79"/>
      <c r="FM5" s="79"/>
      <c r="FN5" s="79"/>
      <c r="FO5" s="79"/>
      <c r="FP5" s="79"/>
      <c r="FQ5" s="79"/>
      <c r="FR5" s="79"/>
      <c r="FS5" s="79"/>
      <c r="FT5" s="79"/>
      <c r="FU5" s="79"/>
      <c r="FV5" s="79"/>
      <c r="FW5" s="79"/>
      <c r="FX5" s="79"/>
      <c r="FY5" s="79"/>
      <c r="FZ5" s="79"/>
      <c r="GA5" s="79"/>
      <c r="GB5" s="79"/>
      <c r="GC5" s="79"/>
      <c r="GD5" s="79"/>
      <c r="GE5" s="79"/>
      <c r="GF5" s="79"/>
      <c r="GG5" s="79"/>
      <c r="GH5" s="79"/>
      <c r="GI5" s="79"/>
      <c r="GJ5" s="79"/>
      <c r="GK5" s="79"/>
      <c r="GL5" s="79"/>
      <c r="GM5" s="79"/>
      <c r="GN5" s="79"/>
      <c r="GO5" s="79"/>
      <c r="GP5" s="79"/>
      <c r="GQ5" s="79"/>
      <c r="GR5" s="79"/>
      <c r="GS5" s="79"/>
      <c r="GT5" s="79"/>
      <c r="GU5" s="79"/>
      <c r="GV5" s="79"/>
      <c r="GW5" s="79"/>
      <c r="GX5" s="79"/>
      <c r="GY5" s="79"/>
      <c r="GZ5" s="79"/>
      <c r="HA5" s="79"/>
      <c r="HB5" s="79"/>
      <c r="HC5" s="79"/>
      <c r="HD5" s="79"/>
      <c r="HE5" s="79"/>
      <c r="HF5" s="79"/>
      <c r="HG5" s="79"/>
      <c r="HH5" s="79"/>
      <c r="HI5" s="79"/>
      <c r="HJ5" s="79"/>
      <c r="HK5" s="79"/>
      <c r="HL5" s="79"/>
      <c r="HM5" s="79"/>
      <c r="HN5" s="79"/>
      <c r="HO5" s="79"/>
      <c r="HP5" s="79"/>
      <c r="HQ5" s="79"/>
      <c r="HR5" s="79"/>
      <c r="HS5" s="79"/>
      <c r="HT5" s="79"/>
      <c r="HU5" s="79"/>
      <c r="HV5" s="79"/>
      <c r="HW5" s="79"/>
      <c r="HX5" s="79"/>
      <c r="HY5" s="79"/>
      <c r="HZ5" s="79"/>
      <c r="IA5" s="79"/>
      <c r="IB5" s="79"/>
      <c r="IC5" s="79"/>
      <c r="ID5" s="79"/>
      <c r="IE5" s="79"/>
      <c r="IF5" s="79"/>
      <c r="IG5" s="79"/>
      <c r="IH5" s="79"/>
      <c r="II5" s="79"/>
      <c r="IJ5" s="79"/>
      <c r="IK5" s="79"/>
      <c r="IL5" s="79"/>
      <c r="IM5" s="79"/>
      <c r="IN5" s="79"/>
      <c r="IO5" s="79"/>
      <c r="IP5" s="79"/>
      <c r="IQ5" s="79"/>
      <c r="IR5" s="79"/>
      <c r="IS5" s="79"/>
      <c r="IT5" s="79"/>
      <c r="IU5" s="79"/>
      <c r="IV5" s="79"/>
      <c r="IW5" s="79"/>
      <c r="IX5" s="79"/>
      <c r="IY5" s="79"/>
      <c r="IZ5" s="79"/>
      <c r="JA5" s="79"/>
      <c r="JB5" s="79"/>
      <c r="JC5" s="79"/>
      <c r="JD5" s="79"/>
      <c r="JE5" s="79"/>
      <c r="JF5" s="79"/>
      <c r="JG5" s="79"/>
      <c r="JH5" s="79"/>
      <c r="JI5" s="79"/>
      <c r="JJ5" s="79"/>
      <c r="JK5" s="79"/>
      <c r="JL5" s="79"/>
      <c r="JM5" s="79"/>
      <c r="JN5" s="79"/>
      <c r="JO5" s="79"/>
      <c r="JP5" s="79"/>
      <c r="JQ5" s="79"/>
      <c r="JR5" s="79"/>
      <c r="JS5" s="79"/>
      <c r="JT5" s="79"/>
      <c r="JU5" s="79"/>
      <c r="JV5" s="79"/>
      <c r="JW5" s="79"/>
      <c r="JX5" s="79"/>
      <c r="JY5" s="79"/>
      <c r="JZ5" s="79"/>
      <c r="KA5" s="79"/>
      <c r="KB5" s="79"/>
      <c r="KC5" s="79"/>
      <c r="KD5" s="79"/>
      <c r="KE5" s="79"/>
      <c r="KF5" s="79"/>
      <c r="KG5" s="79"/>
      <c r="KH5" s="79"/>
      <c r="KI5" s="79"/>
      <c r="KJ5" s="79"/>
      <c r="KK5" s="79"/>
      <c r="KL5" s="79"/>
      <c r="KM5" s="79"/>
      <c r="KN5" s="79"/>
      <c r="KO5" s="79"/>
      <c r="KP5" s="79"/>
      <c r="KQ5" s="79"/>
      <c r="KR5" s="79"/>
      <c r="KS5" s="79"/>
      <c r="KT5" s="79"/>
      <c r="KU5" s="79"/>
      <c r="KV5" s="79"/>
      <c r="KW5" s="79"/>
      <c r="KX5" s="79"/>
      <c r="KY5" s="79"/>
      <c r="KZ5" s="79"/>
      <c r="LA5" s="79"/>
      <c r="LB5" s="79"/>
      <c r="LC5" s="79"/>
      <c r="LD5" s="79"/>
      <c r="LE5" s="79"/>
      <c r="LF5" s="79"/>
      <c r="LG5" s="79"/>
      <c r="LH5" s="79"/>
      <c r="LI5" s="79"/>
      <c r="LJ5" s="79"/>
      <c r="LK5" s="79"/>
      <c r="LL5" s="79"/>
      <c r="LM5" s="79"/>
      <c r="LN5" s="79"/>
      <c r="LO5" s="79"/>
      <c r="LP5" s="79"/>
      <c r="LQ5" s="79"/>
      <c r="LR5" s="79"/>
      <c r="LS5" s="79"/>
      <c r="LT5" s="79"/>
      <c r="LU5" s="79"/>
      <c r="LV5" s="79"/>
      <c r="LW5" s="79"/>
      <c r="LX5" s="79"/>
      <c r="LY5" s="79"/>
      <c r="LZ5" s="79"/>
      <c r="MA5" s="79"/>
      <c r="MB5" s="79"/>
      <c r="MC5" s="79"/>
      <c r="MD5" s="79"/>
      <c r="ME5" s="79"/>
      <c r="MF5" s="79"/>
      <c r="MG5" s="79"/>
      <c r="MH5" s="79"/>
      <c r="MI5" s="79"/>
      <c r="MJ5" s="79"/>
      <c r="MK5" s="79"/>
      <c r="ML5" s="79"/>
      <c r="MM5" s="79"/>
      <c r="MN5" s="79"/>
      <c r="MO5" s="79"/>
      <c r="MP5" s="79"/>
      <c r="MQ5" s="79"/>
      <c r="MR5" s="79"/>
      <c r="MS5" s="79"/>
      <c r="MT5" s="79"/>
      <c r="MU5" s="79"/>
      <c r="MV5" s="79"/>
      <c r="MW5" s="79"/>
    </row>
    <row r="6">
      <c r="A6" s="78"/>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78"/>
      <c r="BN6" s="78"/>
      <c r="BO6" s="78"/>
      <c r="BP6" s="78"/>
      <c r="BQ6" s="78"/>
      <c r="BR6" s="78"/>
      <c r="BS6" s="78"/>
      <c r="BT6" s="78"/>
      <c r="BU6" s="78"/>
      <c r="BV6" s="78"/>
      <c r="BW6" s="78"/>
      <c r="BX6" s="78"/>
      <c r="BY6" s="78"/>
      <c r="BZ6" s="78"/>
      <c r="CA6" s="78"/>
      <c r="CB6" s="78"/>
      <c r="CC6" s="78"/>
      <c r="CD6" s="78"/>
      <c r="CE6" s="78"/>
      <c r="CF6" s="78"/>
      <c r="CG6" s="78"/>
      <c r="CH6" s="78"/>
      <c r="CI6" s="78"/>
      <c r="CJ6" s="78"/>
      <c r="CK6" s="78"/>
      <c r="CL6" s="78"/>
      <c r="CM6" s="78"/>
      <c r="CN6" s="78"/>
      <c r="CO6" s="78"/>
      <c r="CP6" s="78"/>
      <c r="CQ6" s="78"/>
      <c r="CR6" s="78"/>
      <c r="CS6" s="78"/>
      <c r="CT6" s="78"/>
      <c r="CU6" s="78"/>
      <c r="CV6" s="78"/>
      <c r="CW6" s="78"/>
      <c r="CX6" s="78"/>
      <c r="CY6" s="78"/>
      <c r="CZ6" s="78"/>
      <c r="DA6" s="78"/>
      <c r="DB6" s="78"/>
      <c r="DC6" s="78"/>
      <c r="DD6" s="78"/>
      <c r="DE6" s="78"/>
      <c r="DF6" s="78"/>
      <c r="DG6" s="78"/>
      <c r="DH6" s="78"/>
      <c r="DI6" s="78"/>
      <c r="DJ6" s="78"/>
      <c r="DK6" s="78"/>
      <c r="DL6" s="78"/>
      <c r="DM6" s="78"/>
      <c r="DN6" s="78"/>
      <c r="DO6" s="78"/>
      <c r="DP6" s="78"/>
      <c r="DQ6" s="78"/>
      <c r="DR6" s="78"/>
      <c r="DS6" s="78"/>
      <c r="DT6" s="78"/>
      <c r="DU6" s="78"/>
      <c r="DV6" s="78"/>
      <c r="DW6" s="78"/>
      <c r="DX6" s="78"/>
      <c r="DY6" s="78"/>
      <c r="DZ6" s="78"/>
      <c r="EA6" s="78"/>
      <c r="EB6" s="78"/>
      <c r="EC6" s="78"/>
      <c r="ED6" s="78"/>
      <c r="EE6" s="78"/>
      <c r="EF6" s="78"/>
      <c r="EG6" s="78"/>
      <c r="EH6" s="78"/>
      <c r="EI6" s="78"/>
      <c r="EJ6" s="78"/>
      <c r="EK6" s="78"/>
      <c r="EL6" s="78"/>
      <c r="EM6" s="78"/>
      <c r="EN6" s="78"/>
      <c r="EO6" s="78"/>
      <c r="EP6" s="78"/>
      <c r="EQ6" s="78"/>
      <c r="ER6" s="78"/>
      <c r="ES6" s="78"/>
      <c r="ET6" s="78"/>
      <c r="EU6" s="78"/>
      <c r="EV6" s="78"/>
      <c r="EW6" s="78"/>
      <c r="EX6" s="78"/>
      <c r="EY6" s="78"/>
      <c r="EZ6" s="78"/>
      <c r="FA6" s="78"/>
      <c r="FB6" s="78"/>
      <c r="FC6" s="78"/>
      <c r="FD6" s="78"/>
      <c r="FE6" s="78"/>
      <c r="FF6" s="78"/>
      <c r="FG6" s="78"/>
      <c r="FH6" s="78"/>
      <c r="FI6" s="78"/>
      <c r="FJ6" s="78"/>
      <c r="FK6" s="78"/>
      <c r="FL6" s="78"/>
      <c r="FM6" s="78"/>
      <c r="FN6" s="78"/>
      <c r="FO6" s="78"/>
      <c r="FP6" s="78"/>
      <c r="FQ6" s="78"/>
      <c r="FR6" s="78"/>
      <c r="FS6" s="78"/>
      <c r="FT6" s="78"/>
      <c r="FU6" s="78"/>
      <c r="FV6" s="78"/>
      <c r="FW6" s="78"/>
      <c r="FX6" s="78"/>
      <c r="FY6" s="78"/>
      <c r="FZ6" s="78"/>
      <c r="GA6" s="78"/>
      <c r="GB6" s="78"/>
      <c r="GC6" s="78"/>
      <c r="GD6" s="78"/>
      <c r="GE6" s="78"/>
      <c r="GF6" s="78"/>
      <c r="GG6" s="78"/>
      <c r="GH6" s="78"/>
      <c r="GI6" s="78"/>
      <c r="GJ6" s="78"/>
      <c r="GK6" s="78"/>
      <c r="GL6" s="78"/>
      <c r="GM6" s="78"/>
      <c r="GN6" s="78"/>
      <c r="GO6" s="78"/>
      <c r="GP6" s="78"/>
      <c r="GQ6" s="78"/>
      <c r="GR6" s="78"/>
      <c r="GS6" s="78"/>
      <c r="GT6" s="78"/>
      <c r="GU6" s="78"/>
      <c r="GV6" s="78"/>
      <c r="GW6" s="78"/>
      <c r="GX6" s="78"/>
      <c r="GY6" s="78"/>
      <c r="GZ6" s="78"/>
      <c r="HA6" s="78"/>
      <c r="HB6" s="78"/>
      <c r="HC6" s="78"/>
      <c r="HD6" s="78"/>
      <c r="HE6" s="78"/>
      <c r="HF6" s="78"/>
      <c r="HG6" s="78"/>
      <c r="HH6" s="78"/>
      <c r="HI6" s="78"/>
      <c r="HJ6" s="78"/>
      <c r="HK6" s="78"/>
      <c r="HL6" s="78"/>
      <c r="HM6" s="78"/>
      <c r="HN6" s="78"/>
      <c r="HO6" s="78"/>
      <c r="HP6" s="78"/>
      <c r="HQ6" s="78"/>
      <c r="HR6" s="78"/>
      <c r="HS6" s="78"/>
      <c r="HT6" s="78"/>
      <c r="HU6" s="78"/>
      <c r="HV6" s="78"/>
      <c r="HW6" s="78"/>
      <c r="HX6" s="78"/>
      <c r="HY6" s="78"/>
      <c r="HZ6" s="78"/>
      <c r="IA6" s="78"/>
      <c r="IB6" s="78"/>
      <c r="IC6" s="78"/>
      <c r="ID6" s="78"/>
      <c r="IE6" s="78"/>
      <c r="IF6" s="78"/>
      <c r="IG6" s="78"/>
      <c r="IH6" s="78"/>
      <c r="II6" s="78"/>
      <c r="IJ6" s="78"/>
      <c r="IK6" s="78"/>
      <c r="IL6" s="78"/>
      <c r="IM6" s="78"/>
      <c r="IN6" s="78"/>
      <c r="IO6" s="78"/>
      <c r="IP6" s="78"/>
      <c r="IQ6" s="78"/>
      <c r="IR6" s="78"/>
      <c r="IS6" s="78"/>
      <c r="IT6" s="78"/>
      <c r="IU6" s="78"/>
      <c r="IV6" s="78"/>
      <c r="IW6" s="78"/>
      <c r="IX6" s="78"/>
      <c r="IY6" s="78"/>
      <c r="IZ6" s="78"/>
      <c r="JA6" s="78"/>
      <c r="JB6" s="78"/>
      <c r="JC6" s="78"/>
      <c r="JD6" s="78"/>
      <c r="JE6" s="78"/>
      <c r="JF6" s="78"/>
      <c r="JG6" s="78"/>
      <c r="JH6" s="78"/>
      <c r="JI6" s="78"/>
      <c r="JJ6" s="78"/>
      <c r="JK6" s="78"/>
      <c r="JL6" s="78"/>
      <c r="JM6" s="78"/>
      <c r="JN6" s="78"/>
      <c r="JO6" s="78"/>
      <c r="JP6" s="78"/>
      <c r="JQ6" s="78"/>
      <c r="JR6" s="78"/>
      <c r="JS6" s="78"/>
      <c r="JT6" s="78"/>
      <c r="JU6" s="78"/>
      <c r="JV6" s="78"/>
      <c r="JW6" s="78"/>
      <c r="JX6" s="78"/>
      <c r="JY6" s="78"/>
      <c r="JZ6" s="78"/>
      <c r="KA6" s="78"/>
      <c r="KB6" s="78"/>
      <c r="KC6" s="78"/>
      <c r="KD6" s="78"/>
      <c r="KE6" s="78"/>
      <c r="KF6" s="78"/>
      <c r="KG6" s="78"/>
      <c r="KH6" s="78"/>
      <c r="KI6" s="78"/>
      <c r="KJ6" s="78"/>
      <c r="KK6" s="78"/>
      <c r="KL6" s="78"/>
      <c r="KM6" s="78"/>
      <c r="KN6" s="78"/>
      <c r="KO6" s="78"/>
      <c r="KP6" s="78"/>
      <c r="KQ6" s="78"/>
      <c r="KR6" s="78"/>
      <c r="KS6" s="78"/>
      <c r="KT6" s="78"/>
      <c r="KU6" s="78"/>
      <c r="KV6" s="78"/>
      <c r="KW6" s="78"/>
      <c r="KX6" s="78"/>
      <c r="KY6" s="78"/>
      <c r="KZ6" s="78"/>
      <c r="LA6" s="78"/>
      <c r="LB6" s="78"/>
      <c r="LC6" s="78"/>
      <c r="LD6" s="78"/>
      <c r="LE6" s="78"/>
      <c r="LF6" s="78"/>
      <c r="LG6" s="78"/>
      <c r="LH6" s="78"/>
      <c r="LI6" s="78"/>
      <c r="LJ6" s="78"/>
      <c r="LK6" s="78"/>
      <c r="LL6" s="78"/>
      <c r="LM6" s="78"/>
      <c r="LN6" s="78"/>
      <c r="LO6" s="78"/>
      <c r="LP6" s="78"/>
      <c r="LQ6" s="78"/>
      <c r="LR6" s="78"/>
      <c r="LS6" s="78"/>
      <c r="LT6" s="78"/>
      <c r="LU6" s="78"/>
      <c r="LV6" s="78"/>
      <c r="LW6" s="78"/>
      <c r="LX6" s="78"/>
      <c r="LY6" s="78"/>
      <c r="LZ6" s="78"/>
      <c r="MA6" s="78"/>
      <c r="MB6" s="78"/>
      <c r="MC6" s="78"/>
      <c r="MD6" s="78"/>
      <c r="ME6" s="78"/>
      <c r="MF6" s="78"/>
      <c r="MG6" s="78"/>
      <c r="MH6" s="78"/>
      <c r="MI6" s="78"/>
      <c r="MJ6" s="78"/>
      <c r="MK6" s="78"/>
      <c r="ML6" s="78"/>
      <c r="MM6" s="78"/>
      <c r="MN6" s="78"/>
      <c r="MO6" s="78"/>
      <c r="MP6" s="78"/>
      <c r="MQ6" s="78"/>
      <c r="MR6" s="78"/>
      <c r="MS6" s="78"/>
      <c r="MT6" s="78"/>
      <c r="MU6" s="78"/>
      <c r="MV6" s="78"/>
      <c r="MW6" s="78"/>
    </row>
    <row r="7">
      <c r="A7" s="79"/>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c r="FJ7" s="79"/>
      <c r="FK7" s="79"/>
      <c r="FL7" s="79"/>
      <c r="FM7" s="79"/>
      <c r="FN7" s="79"/>
      <c r="FO7" s="79"/>
      <c r="FP7" s="79"/>
      <c r="FQ7" s="79"/>
      <c r="FR7" s="79"/>
      <c r="FS7" s="79"/>
      <c r="FT7" s="79"/>
      <c r="FU7" s="79"/>
      <c r="FV7" s="79"/>
      <c r="FW7" s="79"/>
      <c r="FX7" s="79"/>
      <c r="FY7" s="79"/>
      <c r="FZ7" s="79"/>
      <c r="GA7" s="79"/>
      <c r="GB7" s="79"/>
      <c r="GC7" s="79"/>
      <c r="GD7" s="79"/>
      <c r="GE7" s="79"/>
      <c r="GF7" s="79"/>
      <c r="GG7" s="79"/>
      <c r="GH7" s="79"/>
      <c r="GI7" s="79"/>
      <c r="GJ7" s="79"/>
      <c r="GK7" s="79"/>
      <c r="GL7" s="79"/>
      <c r="GM7" s="79"/>
      <c r="GN7" s="79"/>
      <c r="GO7" s="79"/>
      <c r="GP7" s="79"/>
      <c r="GQ7" s="79"/>
      <c r="GR7" s="79"/>
      <c r="GS7" s="79"/>
      <c r="GT7" s="79"/>
      <c r="GU7" s="79"/>
      <c r="GV7" s="79"/>
      <c r="GW7" s="79"/>
      <c r="GX7" s="79"/>
      <c r="GY7" s="79"/>
      <c r="GZ7" s="79"/>
      <c r="HA7" s="79"/>
      <c r="HB7" s="79"/>
      <c r="HC7" s="79"/>
      <c r="HD7" s="79"/>
      <c r="HE7" s="79"/>
      <c r="HF7" s="79"/>
      <c r="HG7" s="79"/>
      <c r="HH7" s="79"/>
      <c r="HI7" s="79"/>
      <c r="HJ7" s="79"/>
      <c r="HK7" s="79"/>
      <c r="HL7" s="79"/>
      <c r="HM7" s="79"/>
      <c r="HN7" s="79"/>
      <c r="HO7" s="79"/>
      <c r="HP7" s="79"/>
      <c r="HQ7" s="79"/>
      <c r="HR7" s="79"/>
      <c r="HS7" s="79"/>
      <c r="HT7" s="79"/>
      <c r="HU7" s="79"/>
      <c r="HV7" s="79"/>
      <c r="HW7" s="79"/>
      <c r="HX7" s="79"/>
      <c r="HY7" s="79"/>
      <c r="HZ7" s="79"/>
      <c r="IA7" s="79"/>
      <c r="IB7" s="79"/>
      <c r="IC7" s="79"/>
      <c r="ID7" s="79"/>
      <c r="IE7" s="79"/>
      <c r="IF7" s="79"/>
      <c r="IG7" s="79"/>
      <c r="IH7" s="79"/>
      <c r="II7" s="79"/>
      <c r="IJ7" s="79"/>
      <c r="IK7" s="79"/>
      <c r="IL7" s="79"/>
      <c r="IM7" s="79"/>
      <c r="IN7" s="79"/>
      <c r="IO7" s="79"/>
      <c r="IP7" s="79"/>
      <c r="IQ7" s="79"/>
      <c r="IR7" s="79"/>
      <c r="IS7" s="79"/>
      <c r="IT7" s="79"/>
      <c r="IU7" s="79"/>
      <c r="IV7" s="79"/>
      <c r="IW7" s="79"/>
      <c r="IX7" s="79"/>
      <c r="IY7" s="79"/>
      <c r="IZ7" s="79"/>
      <c r="JA7" s="79"/>
      <c r="JB7" s="79"/>
      <c r="JC7" s="79"/>
      <c r="JD7" s="79"/>
      <c r="JE7" s="79"/>
      <c r="JF7" s="79"/>
      <c r="JG7" s="79"/>
      <c r="JH7" s="79"/>
      <c r="JI7" s="79"/>
      <c r="JJ7" s="79"/>
      <c r="JK7" s="79"/>
      <c r="JL7" s="79"/>
      <c r="JM7" s="79"/>
      <c r="JN7" s="79"/>
      <c r="JO7" s="79"/>
      <c r="JP7" s="79"/>
      <c r="JQ7" s="79"/>
      <c r="JR7" s="79"/>
      <c r="JS7" s="79"/>
      <c r="JT7" s="79"/>
      <c r="JU7" s="79"/>
      <c r="JV7" s="79"/>
      <c r="JW7" s="79"/>
      <c r="JX7" s="79"/>
      <c r="JY7" s="79"/>
      <c r="JZ7" s="79"/>
      <c r="KA7" s="79"/>
      <c r="KB7" s="79"/>
      <c r="KC7" s="79"/>
      <c r="KD7" s="79"/>
      <c r="KE7" s="79"/>
      <c r="KF7" s="79"/>
      <c r="KG7" s="79"/>
      <c r="KH7" s="79"/>
      <c r="KI7" s="79"/>
      <c r="KJ7" s="79"/>
      <c r="KK7" s="79"/>
      <c r="KL7" s="79"/>
      <c r="KM7" s="79"/>
      <c r="KN7" s="79"/>
      <c r="KO7" s="79"/>
      <c r="KP7" s="79"/>
      <c r="KQ7" s="79"/>
      <c r="KR7" s="79"/>
      <c r="KS7" s="79"/>
      <c r="KT7" s="79"/>
      <c r="KU7" s="79"/>
      <c r="KV7" s="79"/>
      <c r="KW7" s="79"/>
      <c r="KX7" s="79"/>
      <c r="KY7" s="79"/>
      <c r="KZ7" s="79"/>
      <c r="LA7" s="79"/>
      <c r="LB7" s="79"/>
      <c r="LC7" s="79"/>
      <c r="LD7" s="79"/>
      <c r="LE7" s="79"/>
      <c r="LF7" s="79"/>
      <c r="LG7" s="79"/>
      <c r="LH7" s="79"/>
      <c r="LI7" s="79"/>
      <c r="LJ7" s="79"/>
      <c r="LK7" s="79"/>
      <c r="LL7" s="79"/>
      <c r="LM7" s="79"/>
      <c r="LN7" s="79"/>
      <c r="LO7" s="79"/>
      <c r="LP7" s="79"/>
      <c r="LQ7" s="79"/>
      <c r="LR7" s="79"/>
      <c r="LS7" s="79"/>
      <c r="LT7" s="79"/>
      <c r="LU7" s="79"/>
      <c r="LV7" s="79"/>
      <c r="LW7" s="79"/>
      <c r="LX7" s="79"/>
      <c r="LY7" s="79"/>
      <c r="LZ7" s="79"/>
      <c r="MA7" s="79"/>
      <c r="MB7" s="79"/>
      <c r="MC7" s="79"/>
      <c r="MD7" s="79"/>
      <c r="ME7" s="79"/>
      <c r="MF7" s="79"/>
      <c r="MG7" s="79"/>
      <c r="MH7" s="79"/>
      <c r="MI7" s="79"/>
      <c r="MJ7" s="79"/>
      <c r="MK7" s="79"/>
      <c r="ML7" s="79"/>
      <c r="MM7" s="79"/>
      <c r="MN7" s="79"/>
      <c r="MO7" s="79"/>
      <c r="MP7" s="79"/>
      <c r="MQ7" s="79"/>
      <c r="MR7" s="79"/>
      <c r="MS7" s="79"/>
      <c r="MT7" s="79"/>
      <c r="MU7" s="79"/>
      <c r="MV7" s="79"/>
      <c r="MW7" s="79"/>
    </row>
    <row r="8">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c r="BZ8" s="78"/>
      <c r="CA8" s="78"/>
      <c r="CB8" s="78"/>
      <c r="CC8" s="78"/>
      <c r="CD8" s="78"/>
      <c r="CE8" s="78"/>
      <c r="CF8" s="78"/>
      <c r="CG8" s="78"/>
      <c r="CH8" s="78"/>
      <c r="CI8" s="78"/>
      <c r="CJ8" s="78"/>
      <c r="CK8" s="78"/>
      <c r="CL8" s="78"/>
      <c r="CM8" s="78"/>
      <c r="CN8" s="78"/>
      <c r="CO8" s="78"/>
      <c r="CP8" s="78"/>
      <c r="CQ8" s="78"/>
      <c r="CR8" s="78"/>
      <c r="CS8" s="78"/>
      <c r="CT8" s="78"/>
      <c r="CU8" s="78"/>
      <c r="CV8" s="78"/>
      <c r="CW8" s="78"/>
      <c r="CX8" s="78"/>
      <c r="CY8" s="78"/>
      <c r="CZ8" s="78"/>
      <c r="DA8" s="78"/>
      <c r="DB8" s="78"/>
      <c r="DC8" s="78"/>
      <c r="DD8" s="78"/>
      <c r="DE8" s="78"/>
      <c r="DF8" s="78"/>
      <c r="DG8" s="78"/>
      <c r="DH8" s="78"/>
      <c r="DI8" s="78"/>
      <c r="DJ8" s="78"/>
      <c r="DK8" s="78"/>
      <c r="DL8" s="78"/>
      <c r="DM8" s="78"/>
      <c r="DN8" s="78"/>
      <c r="DO8" s="78"/>
      <c r="DP8" s="78"/>
      <c r="DQ8" s="78"/>
      <c r="DR8" s="78"/>
      <c r="DS8" s="78"/>
      <c r="DT8" s="78"/>
      <c r="DU8" s="78"/>
      <c r="DV8" s="78"/>
      <c r="DW8" s="78"/>
      <c r="DX8" s="78"/>
      <c r="DY8" s="78"/>
      <c r="DZ8" s="78"/>
      <c r="EA8" s="78"/>
      <c r="EB8" s="78"/>
      <c r="EC8" s="78"/>
      <c r="ED8" s="78"/>
      <c r="EE8" s="78"/>
      <c r="EF8" s="78"/>
      <c r="EG8" s="78"/>
      <c r="EH8" s="78"/>
      <c r="EI8" s="78"/>
      <c r="EJ8" s="78"/>
      <c r="EK8" s="78"/>
      <c r="EL8" s="78"/>
      <c r="EM8" s="78"/>
      <c r="EN8" s="78"/>
      <c r="EO8" s="78"/>
      <c r="EP8" s="78"/>
      <c r="EQ8" s="78"/>
      <c r="ER8" s="78"/>
      <c r="ES8" s="78"/>
      <c r="ET8" s="78"/>
      <c r="EU8" s="78"/>
      <c r="EV8" s="78"/>
      <c r="EW8" s="78"/>
      <c r="EX8" s="78"/>
      <c r="EY8" s="78"/>
      <c r="EZ8" s="78"/>
      <c r="FA8" s="78"/>
      <c r="FB8" s="78"/>
      <c r="FC8" s="78"/>
      <c r="FD8" s="78"/>
      <c r="FE8" s="78"/>
      <c r="FF8" s="78"/>
      <c r="FG8" s="78"/>
      <c r="FH8" s="78"/>
      <c r="FI8" s="78"/>
      <c r="FJ8" s="78"/>
      <c r="FK8" s="78"/>
      <c r="FL8" s="78"/>
      <c r="FM8" s="78"/>
      <c r="FN8" s="78"/>
      <c r="FO8" s="78"/>
      <c r="FP8" s="78"/>
      <c r="FQ8" s="78"/>
      <c r="FR8" s="78"/>
      <c r="FS8" s="78"/>
      <c r="FT8" s="78"/>
      <c r="FU8" s="78"/>
      <c r="FV8" s="78"/>
      <c r="FW8" s="78"/>
      <c r="FX8" s="78"/>
      <c r="FY8" s="78"/>
      <c r="FZ8" s="78"/>
      <c r="GA8" s="78"/>
      <c r="GB8" s="78"/>
      <c r="GC8" s="78"/>
      <c r="GD8" s="78"/>
      <c r="GE8" s="78"/>
      <c r="GF8" s="78"/>
      <c r="GG8" s="78"/>
      <c r="GH8" s="78"/>
      <c r="GI8" s="78"/>
      <c r="GJ8" s="78"/>
      <c r="GK8" s="78"/>
      <c r="GL8" s="78"/>
      <c r="GM8" s="78"/>
      <c r="GN8" s="78"/>
      <c r="GO8" s="78"/>
      <c r="GP8" s="78"/>
      <c r="GQ8" s="78"/>
      <c r="GR8" s="78"/>
      <c r="GS8" s="78"/>
      <c r="GT8" s="78"/>
      <c r="GU8" s="78"/>
      <c r="GV8" s="78"/>
      <c r="GW8" s="78"/>
      <c r="GX8" s="78"/>
      <c r="GY8" s="78"/>
      <c r="GZ8" s="78"/>
      <c r="HA8" s="78"/>
      <c r="HB8" s="78"/>
      <c r="HC8" s="78"/>
      <c r="HD8" s="78"/>
      <c r="HE8" s="78"/>
      <c r="HF8" s="78"/>
      <c r="HG8" s="78"/>
      <c r="HH8" s="78"/>
      <c r="HI8" s="78"/>
      <c r="HJ8" s="78"/>
      <c r="HK8" s="78"/>
      <c r="HL8" s="78"/>
      <c r="HM8" s="78"/>
      <c r="HN8" s="78"/>
      <c r="HO8" s="78"/>
      <c r="HP8" s="78"/>
      <c r="HQ8" s="78"/>
      <c r="HR8" s="78"/>
      <c r="HS8" s="78"/>
      <c r="HT8" s="78"/>
      <c r="HU8" s="78"/>
      <c r="HV8" s="78"/>
      <c r="HW8" s="78"/>
      <c r="HX8" s="78"/>
      <c r="HY8" s="78"/>
      <c r="HZ8" s="78"/>
      <c r="IA8" s="78"/>
      <c r="IB8" s="78"/>
      <c r="IC8" s="78"/>
      <c r="ID8" s="78"/>
      <c r="IE8" s="78"/>
      <c r="IF8" s="78"/>
      <c r="IG8" s="78"/>
      <c r="IH8" s="78"/>
      <c r="II8" s="78"/>
      <c r="IJ8" s="78"/>
      <c r="IK8" s="78"/>
      <c r="IL8" s="78"/>
      <c r="IM8" s="78"/>
      <c r="IN8" s="78"/>
      <c r="IO8" s="78"/>
      <c r="IP8" s="78"/>
      <c r="IQ8" s="78"/>
      <c r="IR8" s="78"/>
      <c r="IS8" s="78"/>
      <c r="IT8" s="78"/>
      <c r="IU8" s="78"/>
      <c r="IV8" s="78"/>
      <c r="IW8" s="78"/>
      <c r="IX8" s="78"/>
      <c r="IY8" s="78"/>
      <c r="IZ8" s="78"/>
      <c r="JA8" s="78"/>
      <c r="JB8" s="78"/>
      <c r="JC8" s="78"/>
      <c r="JD8" s="78"/>
      <c r="JE8" s="78"/>
      <c r="JF8" s="78"/>
      <c r="JG8" s="78"/>
      <c r="JH8" s="78"/>
      <c r="JI8" s="78"/>
      <c r="JJ8" s="78"/>
      <c r="JK8" s="78"/>
      <c r="JL8" s="78"/>
      <c r="JM8" s="78"/>
      <c r="JN8" s="78"/>
      <c r="JO8" s="78"/>
      <c r="JP8" s="78"/>
      <c r="JQ8" s="78"/>
      <c r="JR8" s="78"/>
      <c r="JS8" s="78"/>
      <c r="JT8" s="78"/>
      <c r="JU8" s="78"/>
      <c r="JV8" s="78"/>
      <c r="JW8" s="78"/>
      <c r="JX8" s="78"/>
      <c r="JY8" s="78"/>
      <c r="JZ8" s="78"/>
      <c r="KA8" s="78"/>
      <c r="KB8" s="78"/>
      <c r="KC8" s="78"/>
      <c r="KD8" s="78"/>
      <c r="KE8" s="78"/>
      <c r="KF8" s="78"/>
      <c r="KG8" s="78"/>
      <c r="KH8" s="78"/>
      <c r="KI8" s="78"/>
      <c r="KJ8" s="78"/>
      <c r="KK8" s="78"/>
      <c r="KL8" s="78"/>
      <c r="KM8" s="78"/>
      <c r="KN8" s="78"/>
      <c r="KO8" s="78"/>
      <c r="KP8" s="78"/>
      <c r="KQ8" s="78"/>
      <c r="KR8" s="78"/>
      <c r="KS8" s="78"/>
      <c r="KT8" s="78"/>
      <c r="KU8" s="78"/>
      <c r="KV8" s="78"/>
      <c r="KW8" s="78"/>
      <c r="KX8" s="78"/>
      <c r="KY8" s="78"/>
      <c r="KZ8" s="78"/>
      <c r="LA8" s="78"/>
      <c r="LB8" s="78"/>
      <c r="LC8" s="78"/>
      <c r="LD8" s="78"/>
      <c r="LE8" s="78"/>
      <c r="LF8" s="78"/>
      <c r="LG8" s="78"/>
      <c r="LH8" s="78"/>
      <c r="LI8" s="78"/>
      <c r="LJ8" s="78"/>
      <c r="LK8" s="78"/>
      <c r="LL8" s="78"/>
      <c r="LM8" s="78"/>
      <c r="LN8" s="78"/>
      <c r="LO8" s="78"/>
      <c r="LP8" s="78"/>
      <c r="LQ8" s="78"/>
      <c r="LR8" s="78"/>
      <c r="LS8" s="78"/>
      <c r="LT8" s="78"/>
      <c r="LU8" s="78"/>
      <c r="LV8" s="78"/>
      <c r="LW8" s="78"/>
      <c r="LX8" s="78"/>
      <c r="LY8" s="78"/>
      <c r="LZ8" s="78"/>
      <c r="MA8" s="78"/>
      <c r="MB8" s="78"/>
      <c r="MC8" s="78"/>
      <c r="MD8" s="78"/>
      <c r="ME8" s="78"/>
      <c r="MF8" s="78"/>
      <c r="MG8" s="78"/>
      <c r="MH8" s="78"/>
      <c r="MI8" s="78"/>
      <c r="MJ8" s="78"/>
      <c r="MK8" s="78"/>
      <c r="ML8" s="78"/>
      <c r="MM8" s="78"/>
      <c r="MN8" s="78"/>
      <c r="MO8" s="78"/>
      <c r="MP8" s="78"/>
      <c r="MQ8" s="78"/>
      <c r="MR8" s="78"/>
      <c r="MS8" s="78"/>
      <c r="MT8" s="78"/>
      <c r="MU8" s="78"/>
      <c r="MV8" s="78"/>
      <c r="MW8" s="78"/>
    </row>
    <row r="9">
      <c r="A9" s="79"/>
      <c r="B9" s="79"/>
      <c r="C9" s="79"/>
      <c r="D9" s="80"/>
      <c r="E9" s="80"/>
      <c r="F9" s="80"/>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c r="AY9" s="79"/>
      <c r="AZ9" s="79"/>
      <c r="BA9" s="79"/>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c r="KA9" s="79"/>
      <c r="KB9" s="79"/>
      <c r="KC9" s="79"/>
      <c r="KD9" s="79"/>
      <c r="KE9" s="79"/>
      <c r="KF9" s="79"/>
      <c r="KG9" s="79"/>
      <c r="KH9" s="79"/>
      <c r="KI9" s="79"/>
      <c r="KJ9" s="79"/>
      <c r="KK9" s="79"/>
      <c r="KL9" s="79"/>
      <c r="KM9" s="79"/>
      <c r="KN9" s="79"/>
      <c r="KO9" s="79"/>
      <c r="KP9" s="79"/>
      <c r="KQ9" s="79"/>
      <c r="KR9" s="79"/>
      <c r="KS9" s="79"/>
      <c r="KT9" s="79"/>
      <c r="KU9" s="79"/>
      <c r="KV9" s="79"/>
      <c r="KW9" s="79"/>
      <c r="KX9" s="79"/>
      <c r="KY9" s="79"/>
      <c r="KZ9" s="79"/>
      <c r="LA9" s="79"/>
      <c r="LB9" s="79"/>
      <c r="LC9" s="79"/>
      <c r="LD9" s="79"/>
      <c r="LE9" s="79"/>
      <c r="LF9" s="79"/>
      <c r="LG9" s="79"/>
      <c r="LH9" s="79"/>
      <c r="LI9" s="79"/>
      <c r="LJ9" s="79"/>
      <c r="LK9" s="79"/>
      <c r="LL9" s="79"/>
      <c r="LM9" s="79"/>
      <c r="LN9" s="79"/>
      <c r="LO9" s="79"/>
      <c r="LP9" s="79"/>
      <c r="LQ9" s="79"/>
      <c r="LR9" s="79"/>
      <c r="LS9" s="79"/>
      <c r="LT9" s="79"/>
      <c r="LU9" s="79"/>
      <c r="LV9" s="79"/>
      <c r="LW9" s="79"/>
      <c r="LX9" s="79"/>
      <c r="LY9" s="79"/>
      <c r="LZ9" s="79"/>
      <c r="MA9" s="79"/>
      <c r="MB9" s="79"/>
      <c r="MC9" s="79"/>
      <c r="MD9" s="79"/>
      <c r="ME9" s="79"/>
      <c r="MF9" s="79"/>
      <c r="MG9" s="79"/>
      <c r="MH9" s="79"/>
      <c r="MI9" s="79"/>
      <c r="MJ9" s="79"/>
      <c r="MK9" s="79"/>
      <c r="ML9" s="79"/>
      <c r="MM9" s="79"/>
      <c r="MN9" s="79"/>
      <c r="MO9" s="79"/>
      <c r="MP9" s="79"/>
      <c r="MQ9" s="79"/>
      <c r="MR9" s="79"/>
      <c r="MS9" s="79"/>
      <c r="MT9" s="79"/>
      <c r="MU9" s="79"/>
      <c r="MV9" s="79"/>
      <c r="MW9" s="79"/>
    </row>
    <row r="10">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c r="MU10" s="78"/>
      <c r="MV10" s="78"/>
      <c r="MW10" s="78"/>
    </row>
    <row r="11">
      <c r="A11" s="79"/>
      <c r="B11" s="79"/>
      <c r="C11" s="79"/>
      <c r="D11" s="80"/>
      <c r="E11" s="80"/>
      <c r="F11" s="80"/>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c r="JD11" s="79"/>
      <c r="JE11" s="79"/>
      <c r="JF11" s="79"/>
      <c r="JG11" s="79"/>
      <c r="JH11" s="79"/>
      <c r="JI11" s="79"/>
      <c r="JJ11" s="79"/>
      <c r="JK11" s="79"/>
      <c r="JL11" s="79"/>
      <c r="JM11" s="79"/>
      <c r="JN11" s="79"/>
      <c r="JO11" s="79"/>
      <c r="JP11" s="79"/>
      <c r="JQ11" s="79"/>
      <c r="JR11" s="79"/>
      <c r="JS11" s="79"/>
      <c r="JT11" s="79"/>
      <c r="JU11" s="79"/>
      <c r="JV11" s="79"/>
      <c r="JW11" s="79"/>
      <c r="JX11" s="79"/>
      <c r="JY11" s="79"/>
      <c r="JZ11" s="79"/>
      <c r="KA11" s="79"/>
      <c r="KB11" s="79"/>
      <c r="KC11" s="79"/>
      <c r="KD11" s="79"/>
      <c r="KE11" s="79"/>
      <c r="KF11" s="79"/>
      <c r="KG11" s="79"/>
      <c r="KH11" s="79"/>
      <c r="KI11" s="79"/>
      <c r="KJ11" s="79"/>
      <c r="KK11" s="79"/>
      <c r="KL11" s="79"/>
      <c r="KM11" s="79"/>
      <c r="KN11" s="79"/>
      <c r="KO11" s="79"/>
      <c r="KP11" s="79"/>
      <c r="KQ11" s="79"/>
      <c r="KR11" s="79"/>
      <c r="KS11" s="79"/>
      <c r="KT11" s="79"/>
      <c r="KU11" s="79"/>
      <c r="KV11" s="79"/>
      <c r="KW11" s="79"/>
      <c r="KX11" s="79"/>
      <c r="KY11" s="79"/>
      <c r="KZ11" s="79"/>
      <c r="LA11" s="79"/>
      <c r="LB11" s="79"/>
      <c r="LC11" s="79"/>
      <c r="LD11" s="79"/>
      <c r="LE11" s="79"/>
      <c r="LF11" s="79"/>
      <c r="LG11" s="79"/>
      <c r="LH11" s="79"/>
      <c r="LI11" s="79"/>
      <c r="LJ11" s="79"/>
      <c r="LK11" s="79"/>
      <c r="LL11" s="79"/>
      <c r="LM11" s="79"/>
      <c r="LN11" s="79"/>
      <c r="LO11" s="79"/>
      <c r="LP11" s="79"/>
      <c r="LQ11" s="79"/>
      <c r="LR11" s="79"/>
      <c r="LS11" s="79"/>
      <c r="LT11" s="79"/>
      <c r="LU11" s="79"/>
      <c r="LV11" s="79"/>
      <c r="LW11" s="79"/>
      <c r="LX11" s="79"/>
      <c r="LY11" s="79"/>
      <c r="LZ11" s="79"/>
      <c r="MA11" s="79"/>
      <c r="MB11" s="79"/>
      <c r="MC11" s="79"/>
      <c r="MD11" s="79"/>
      <c r="ME11" s="79"/>
      <c r="MF11" s="79"/>
      <c r="MG11" s="79"/>
      <c r="MH11" s="79"/>
      <c r="MI11" s="79"/>
      <c r="MJ11" s="79"/>
      <c r="MK11" s="79"/>
      <c r="ML11" s="79"/>
      <c r="MM11" s="79"/>
      <c r="MN11" s="79"/>
      <c r="MO11" s="79"/>
      <c r="MP11" s="79"/>
      <c r="MQ11" s="79"/>
      <c r="MR11" s="79"/>
      <c r="MS11" s="79"/>
      <c r="MT11" s="79"/>
      <c r="MU11" s="79"/>
      <c r="MV11" s="79"/>
      <c r="MW11" s="79"/>
    </row>
    <row r="12">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8"/>
      <c r="EC12" s="78"/>
      <c r="ED12" s="78"/>
      <c r="EE12" s="78"/>
      <c r="EF12" s="78"/>
      <c r="EG12" s="78"/>
      <c r="EH12" s="78"/>
      <c r="EI12" s="78"/>
      <c r="EJ12" s="78"/>
      <c r="EK12" s="78"/>
      <c r="EL12" s="78"/>
      <c r="EM12" s="78"/>
      <c r="EN12" s="78"/>
      <c r="EO12" s="78"/>
      <c r="EP12" s="78"/>
      <c r="EQ12" s="78"/>
      <c r="ER12" s="78"/>
      <c r="ES12" s="78"/>
      <c r="ET12" s="78"/>
      <c r="EU12" s="78"/>
      <c r="EV12" s="78"/>
      <c r="EW12" s="78"/>
      <c r="EX12" s="78"/>
      <c r="EY12" s="78"/>
      <c r="EZ12" s="78"/>
      <c r="FA12" s="78"/>
      <c r="FB12" s="78"/>
      <c r="FC12" s="78"/>
      <c r="FD12" s="78"/>
      <c r="FE12" s="78"/>
      <c r="FF12" s="78"/>
      <c r="FG12" s="78"/>
      <c r="FH12" s="78"/>
      <c r="FI12" s="78"/>
      <c r="FJ12" s="78"/>
      <c r="FK12" s="78"/>
      <c r="FL12" s="78"/>
      <c r="FM12" s="78"/>
      <c r="FN12" s="78"/>
      <c r="FO12" s="78"/>
      <c r="FP12" s="78"/>
      <c r="FQ12" s="78"/>
      <c r="FR12" s="78"/>
      <c r="FS12" s="78"/>
      <c r="FT12" s="78"/>
      <c r="FU12" s="78"/>
      <c r="FV12" s="78"/>
      <c r="FW12" s="78"/>
      <c r="FX12" s="78"/>
      <c r="FY12" s="78"/>
      <c r="FZ12" s="78"/>
      <c r="GA12" s="78"/>
      <c r="GB12" s="78"/>
      <c r="GC12" s="78"/>
      <c r="GD12" s="78"/>
      <c r="GE12" s="78"/>
      <c r="GF12" s="78"/>
      <c r="GG12" s="78"/>
      <c r="GH12" s="78"/>
      <c r="GI12" s="78"/>
      <c r="GJ12" s="78"/>
      <c r="GK12" s="78"/>
      <c r="GL12" s="78"/>
      <c r="GM12" s="78"/>
      <c r="GN12" s="78"/>
      <c r="GO12" s="78"/>
      <c r="GP12" s="78"/>
      <c r="GQ12" s="78"/>
      <c r="GR12" s="78"/>
      <c r="GS12" s="78"/>
      <c r="GT12" s="78"/>
      <c r="GU12" s="78"/>
      <c r="GV12" s="78"/>
      <c r="GW12" s="78"/>
      <c r="GX12" s="78"/>
      <c r="GY12" s="78"/>
      <c r="GZ12" s="78"/>
      <c r="HA12" s="78"/>
      <c r="HB12" s="78"/>
      <c r="HC12" s="78"/>
      <c r="HD12" s="78"/>
      <c r="HE12" s="78"/>
      <c r="HF12" s="78"/>
      <c r="HG12" s="78"/>
      <c r="HH12" s="78"/>
      <c r="HI12" s="78"/>
      <c r="HJ12" s="78"/>
      <c r="HK12" s="78"/>
      <c r="HL12" s="78"/>
      <c r="HM12" s="78"/>
      <c r="HN12" s="78"/>
      <c r="HO12" s="78"/>
      <c r="HP12" s="78"/>
      <c r="HQ12" s="78"/>
      <c r="HR12" s="78"/>
      <c r="HS12" s="78"/>
      <c r="HT12" s="78"/>
      <c r="HU12" s="78"/>
      <c r="HV12" s="78"/>
      <c r="HW12" s="78"/>
      <c r="HX12" s="78"/>
      <c r="HY12" s="78"/>
      <c r="HZ12" s="78"/>
      <c r="IA12" s="78"/>
      <c r="IB12" s="78"/>
      <c r="IC12" s="78"/>
      <c r="ID12" s="78"/>
      <c r="IE12" s="78"/>
      <c r="IF12" s="78"/>
      <c r="IG12" s="78"/>
      <c r="IH12" s="78"/>
      <c r="II12" s="78"/>
      <c r="IJ12" s="78"/>
      <c r="IK12" s="78"/>
      <c r="IL12" s="78"/>
      <c r="IM12" s="78"/>
      <c r="IN12" s="78"/>
      <c r="IO12" s="78"/>
      <c r="IP12" s="78"/>
      <c r="IQ12" s="78"/>
      <c r="IR12" s="78"/>
      <c r="IS12" s="78"/>
      <c r="IT12" s="78"/>
      <c r="IU12" s="78"/>
      <c r="IV12" s="78"/>
      <c r="IW12" s="78"/>
      <c r="IX12" s="78"/>
      <c r="IY12" s="78"/>
      <c r="IZ12" s="78"/>
      <c r="JA12" s="78"/>
      <c r="JB12" s="78"/>
      <c r="JC12" s="78"/>
      <c r="JD12" s="78"/>
      <c r="JE12" s="78"/>
      <c r="JF12" s="78"/>
      <c r="JG12" s="78"/>
      <c r="JH12" s="78"/>
      <c r="JI12" s="78"/>
      <c r="JJ12" s="78"/>
      <c r="JK12" s="78"/>
      <c r="JL12" s="78"/>
      <c r="JM12" s="78"/>
      <c r="JN12" s="78"/>
      <c r="JO12" s="78"/>
      <c r="JP12" s="78"/>
      <c r="JQ12" s="78"/>
      <c r="JR12" s="78"/>
      <c r="JS12" s="78"/>
      <c r="JT12" s="78"/>
      <c r="JU12" s="78"/>
      <c r="JV12" s="78"/>
      <c r="JW12" s="78"/>
      <c r="JX12" s="78"/>
      <c r="JY12" s="78"/>
      <c r="JZ12" s="78"/>
      <c r="KA12" s="78"/>
      <c r="KB12" s="78"/>
      <c r="KC12" s="78"/>
      <c r="KD12" s="78"/>
      <c r="KE12" s="78"/>
      <c r="KF12" s="78"/>
      <c r="KG12" s="78"/>
      <c r="KH12" s="78"/>
      <c r="KI12" s="78"/>
      <c r="KJ12" s="78"/>
      <c r="KK12" s="78"/>
      <c r="KL12" s="78"/>
      <c r="KM12" s="78"/>
      <c r="KN12" s="78"/>
      <c r="KO12" s="78"/>
      <c r="KP12" s="78"/>
      <c r="KQ12" s="78"/>
      <c r="KR12" s="78"/>
      <c r="KS12" s="78"/>
      <c r="KT12" s="78"/>
      <c r="KU12" s="78"/>
      <c r="KV12" s="78"/>
      <c r="KW12" s="78"/>
      <c r="KX12" s="78"/>
      <c r="KY12" s="78"/>
      <c r="KZ12" s="78"/>
      <c r="LA12" s="78"/>
      <c r="LB12" s="78"/>
      <c r="LC12" s="78"/>
      <c r="LD12" s="78"/>
      <c r="LE12" s="78"/>
      <c r="LF12" s="78"/>
      <c r="LG12" s="78"/>
      <c r="LH12" s="78"/>
      <c r="LI12" s="78"/>
      <c r="LJ12" s="78"/>
      <c r="LK12" s="78"/>
      <c r="LL12" s="78"/>
      <c r="LM12" s="78"/>
      <c r="LN12" s="78"/>
      <c r="LO12" s="78"/>
      <c r="LP12" s="78"/>
      <c r="LQ12" s="78"/>
      <c r="LR12" s="78"/>
      <c r="LS12" s="78"/>
      <c r="LT12" s="78"/>
      <c r="LU12" s="78"/>
      <c r="LV12" s="78"/>
      <c r="LW12" s="78"/>
      <c r="LX12" s="78"/>
      <c r="LY12" s="78"/>
      <c r="LZ12" s="78"/>
      <c r="MA12" s="78"/>
      <c r="MB12" s="78"/>
      <c r="MC12" s="78"/>
      <c r="MD12" s="78"/>
      <c r="ME12" s="78"/>
      <c r="MF12" s="78"/>
      <c r="MG12" s="78"/>
      <c r="MH12" s="78"/>
      <c r="MI12" s="78"/>
      <c r="MJ12" s="78"/>
      <c r="MK12" s="78"/>
      <c r="ML12" s="78"/>
      <c r="MM12" s="78"/>
      <c r="MN12" s="78"/>
      <c r="MO12" s="78"/>
      <c r="MP12" s="78"/>
      <c r="MQ12" s="78"/>
      <c r="MR12" s="78"/>
      <c r="MS12" s="78"/>
      <c r="MT12" s="78"/>
      <c r="MU12" s="78"/>
      <c r="MV12" s="78"/>
      <c r="MW12" s="78"/>
    </row>
    <row r="13">
      <c r="A13" s="79"/>
      <c r="B13" s="79"/>
      <c r="C13" s="79"/>
      <c r="D13" s="80"/>
      <c r="E13" s="80"/>
      <c r="F13" s="80"/>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row>
    <row r="14">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78"/>
      <c r="EO14" s="78"/>
      <c r="EP14" s="78"/>
      <c r="EQ14" s="78"/>
      <c r="ER14" s="78"/>
      <c r="ES14" s="78"/>
      <c r="ET14" s="78"/>
      <c r="EU14" s="78"/>
      <c r="EV14" s="78"/>
      <c r="EW14" s="78"/>
      <c r="EX14" s="78"/>
      <c r="EY14" s="78"/>
      <c r="EZ14" s="78"/>
      <c r="FA14" s="78"/>
      <c r="FB14" s="78"/>
      <c r="FC14" s="78"/>
      <c r="FD14" s="78"/>
      <c r="FE14" s="78"/>
      <c r="FF14" s="78"/>
      <c r="FG14" s="78"/>
      <c r="FH14" s="78"/>
      <c r="FI14" s="78"/>
      <c r="FJ14" s="78"/>
      <c r="FK14" s="78"/>
      <c r="FL14" s="78"/>
      <c r="FM14" s="78"/>
      <c r="FN14" s="78"/>
      <c r="FO14" s="78"/>
      <c r="FP14" s="78"/>
      <c r="FQ14" s="78"/>
      <c r="FR14" s="78"/>
      <c r="FS14" s="78"/>
      <c r="FT14" s="78"/>
      <c r="FU14" s="78"/>
      <c r="FV14" s="78"/>
      <c r="FW14" s="78"/>
      <c r="FX14" s="78"/>
      <c r="FY14" s="78"/>
      <c r="FZ14" s="78"/>
      <c r="GA14" s="78"/>
      <c r="GB14" s="78"/>
      <c r="GC14" s="78"/>
      <c r="GD14" s="78"/>
      <c r="GE14" s="78"/>
      <c r="GF14" s="78"/>
      <c r="GG14" s="78"/>
      <c r="GH14" s="78"/>
      <c r="GI14" s="78"/>
      <c r="GJ14" s="78"/>
      <c r="GK14" s="78"/>
      <c r="GL14" s="78"/>
      <c r="GM14" s="78"/>
      <c r="GN14" s="78"/>
      <c r="GO14" s="78"/>
      <c r="GP14" s="78"/>
      <c r="GQ14" s="78"/>
      <c r="GR14" s="78"/>
      <c r="GS14" s="78"/>
      <c r="GT14" s="78"/>
      <c r="GU14" s="78"/>
      <c r="GV14" s="78"/>
      <c r="GW14" s="78"/>
      <c r="GX14" s="78"/>
      <c r="GY14" s="78"/>
      <c r="GZ14" s="78"/>
      <c r="HA14" s="78"/>
      <c r="HB14" s="78"/>
      <c r="HC14" s="78"/>
      <c r="HD14" s="78"/>
      <c r="HE14" s="78"/>
      <c r="HF14" s="78"/>
      <c r="HG14" s="78"/>
      <c r="HH14" s="78"/>
      <c r="HI14" s="78"/>
      <c r="HJ14" s="78"/>
      <c r="HK14" s="78"/>
      <c r="HL14" s="78"/>
      <c r="HM14" s="78"/>
      <c r="HN14" s="78"/>
      <c r="HO14" s="78"/>
      <c r="HP14" s="78"/>
      <c r="HQ14" s="78"/>
      <c r="HR14" s="78"/>
      <c r="HS14" s="78"/>
      <c r="HT14" s="78"/>
      <c r="HU14" s="78"/>
      <c r="HV14" s="78"/>
      <c r="HW14" s="78"/>
      <c r="HX14" s="78"/>
      <c r="HY14" s="78"/>
      <c r="HZ14" s="78"/>
      <c r="IA14" s="78"/>
      <c r="IB14" s="78"/>
      <c r="IC14" s="78"/>
      <c r="ID14" s="78"/>
      <c r="IE14" s="78"/>
      <c r="IF14" s="78"/>
      <c r="IG14" s="78"/>
      <c r="IH14" s="78"/>
      <c r="II14" s="78"/>
      <c r="IJ14" s="78"/>
      <c r="IK14" s="78"/>
      <c r="IL14" s="78"/>
      <c r="IM14" s="78"/>
      <c r="IN14" s="78"/>
      <c r="IO14" s="78"/>
      <c r="IP14" s="78"/>
      <c r="IQ14" s="78"/>
      <c r="IR14" s="78"/>
      <c r="IS14" s="78"/>
      <c r="IT14" s="78"/>
      <c r="IU14" s="78"/>
      <c r="IV14" s="78"/>
      <c r="IW14" s="78"/>
      <c r="IX14" s="78"/>
      <c r="IY14" s="78"/>
      <c r="IZ14" s="78"/>
      <c r="JA14" s="78"/>
      <c r="JB14" s="78"/>
      <c r="JC14" s="78"/>
      <c r="JD14" s="78"/>
      <c r="JE14" s="78"/>
      <c r="JF14" s="78"/>
      <c r="JG14" s="78"/>
      <c r="JH14" s="78"/>
      <c r="JI14" s="78"/>
      <c r="JJ14" s="78"/>
      <c r="JK14" s="78"/>
      <c r="JL14" s="78"/>
      <c r="JM14" s="78"/>
      <c r="JN14" s="78"/>
      <c r="JO14" s="78"/>
      <c r="JP14" s="78"/>
      <c r="JQ14" s="78"/>
      <c r="JR14" s="78"/>
      <c r="JS14" s="78"/>
      <c r="JT14" s="78"/>
      <c r="JU14" s="78"/>
      <c r="JV14" s="78"/>
      <c r="JW14" s="78"/>
      <c r="JX14" s="78"/>
      <c r="JY14" s="78"/>
      <c r="JZ14" s="78"/>
      <c r="KA14" s="78"/>
      <c r="KB14" s="78"/>
      <c r="KC14" s="78"/>
      <c r="KD14" s="78"/>
      <c r="KE14" s="78"/>
      <c r="KF14" s="78"/>
      <c r="KG14" s="78"/>
      <c r="KH14" s="78"/>
      <c r="KI14" s="78"/>
      <c r="KJ14" s="78"/>
      <c r="KK14" s="78"/>
      <c r="KL14" s="78"/>
      <c r="KM14" s="78"/>
      <c r="KN14" s="78"/>
      <c r="KO14" s="78"/>
      <c r="KP14" s="78"/>
      <c r="KQ14" s="78"/>
      <c r="KR14" s="78"/>
      <c r="KS14" s="78"/>
      <c r="KT14" s="78"/>
      <c r="KU14" s="78"/>
      <c r="KV14" s="78"/>
      <c r="KW14" s="78"/>
      <c r="KX14" s="78"/>
      <c r="KY14" s="78"/>
      <c r="KZ14" s="78"/>
      <c r="LA14" s="78"/>
      <c r="LB14" s="78"/>
      <c r="LC14" s="78"/>
      <c r="LD14" s="78"/>
      <c r="LE14" s="78"/>
      <c r="LF14" s="78"/>
      <c r="LG14" s="78"/>
      <c r="LH14" s="78"/>
      <c r="LI14" s="78"/>
      <c r="LJ14" s="78"/>
      <c r="LK14" s="78"/>
      <c r="LL14" s="78"/>
      <c r="LM14" s="78"/>
      <c r="LN14" s="78"/>
      <c r="LO14" s="78"/>
      <c r="LP14" s="78"/>
      <c r="LQ14" s="78"/>
      <c r="LR14" s="78"/>
      <c r="LS14" s="78"/>
      <c r="LT14" s="78"/>
      <c r="LU14" s="78"/>
      <c r="LV14" s="78"/>
      <c r="LW14" s="78"/>
      <c r="LX14" s="78"/>
      <c r="LY14" s="78"/>
      <c r="LZ14" s="78"/>
      <c r="MA14" s="78"/>
      <c r="MB14" s="78"/>
      <c r="MC14" s="78"/>
      <c r="MD14" s="78"/>
      <c r="ME14" s="78"/>
      <c r="MF14" s="78"/>
      <c r="MG14" s="78"/>
      <c r="MH14" s="78"/>
      <c r="MI14" s="78"/>
      <c r="MJ14" s="78"/>
      <c r="MK14" s="78"/>
      <c r="ML14" s="78"/>
      <c r="MM14" s="78"/>
      <c r="MN14" s="78"/>
      <c r="MO14" s="78"/>
      <c r="MP14" s="78"/>
      <c r="MQ14" s="78"/>
      <c r="MR14" s="78"/>
      <c r="MS14" s="78"/>
      <c r="MT14" s="78"/>
      <c r="MU14" s="78"/>
      <c r="MV14" s="78"/>
      <c r="MW14" s="78"/>
    </row>
    <row r="15">
      <c r="A15" s="79"/>
      <c r="B15" s="79"/>
      <c r="C15" s="79"/>
      <c r="D15" s="80"/>
      <c r="E15" s="80"/>
      <c r="F15" s="80"/>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row>
    <row r="16">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c r="GU16" s="78"/>
      <c r="GV16" s="78"/>
      <c r="GW16" s="78"/>
      <c r="GX16" s="78"/>
      <c r="GY16" s="78"/>
      <c r="GZ16" s="78"/>
      <c r="HA16" s="78"/>
      <c r="HB16" s="78"/>
      <c r="HC16" s="78"/>
      <c r="HD16" s="78"/>
      <c r="HE16" s="78"/>
      <c r="HF16" s="78"/>
      <c r="HG16" s="78"/>
      <c r="HH16" s="78"/>
      <c r="HI16" s="78"/>
      <c r="HJ16" s="78"/>
      <c r="HK16" s="78"/>
      <c r="HL16" s="78"/>
      <c r="HM16" s="78"/>
      <c r="HN16" s="78"/>
      <c r="HO16" s="78"/>
      <c r="HP16" s="78"/>
      <c r="HQ16" s="78"/>
      <c r="HR16" s="78"/>
      <c r="HS16" s="78"/>
      <c r="HT16" s="78"/>
      <c r="HU16" s="78"/>
      <c r="HV16" s="78"/>
      <c r="HW16" s="78"/>
      <c r="HX16" s="78"/>
      <c r="HY16" s="78"/>
      <c r="HZ16" s="78"/>
      <c r="IA16" s="78"/>
      <c r="IB16" s="78"/>
      <c r="IC16" s="78"/>
      <c r="ID16" s="78"/>
      <c r="IE16" s="78"/>
      <c r="IF16" s="78"/>
      <c r="IG16" s="78"/>
      <c r="IH16" s="78"/>
      <c r="II16" s="78"/>
      <c r="IJ16" s="78"/>
      <c r="IK16" s="78"/>
      <c r="IL16" s="78"/>
      <c r="IM16" s="78"/>
      <c r="IN16" s="78"/>
      <c r="IO16" s="78"/>
      <c r="IP16" s="78"/>
      <c r="IQ16" s="78"/>
      <c r="IR16" s="78"/>
      <c r="IS16" s="78"/>
      <c r="IT16" s="78"/>
      <c r="IU16" s="78"/>
      <c r="IV16" s="78"/>
      <c r="IW16" s="78"/>
      <c r="IX16" s="78"/>
      <c r="IY16" s="78"/>
      <c r="IZ16" s="78"/>
      <c r="JA16" s="78"/>
      <c r="JB16" s="78"/>
      <c r="JC16" s="78"/>
      <c r="JD16" s="78"/>
      <c r="JE16" s="78"/>
      <c r="JF16" s="78"/>
      <c r="JG16" s="78"/>
      <c r="JH16" s="78"/>
      <c r="JI16" s="78"/>
      <c r="JJ16" s="78"/>
      <c r="JK16" s="78"/>
      <c r="JL16" s="78"/>
      <c r="JM16" s="78"/>
      <c r="JN16" s="78"/>
      <c r="JO16" s="78"/>
      <c r="JP16" s="78"/>
      <c r="JQ16" s="78"/>
      <c r="JR16" s="78"/>
      <c r="JS16" s="78"/>
      <c r="JT16" s="78"/>
      <c r="JU16" s="78"/>
      <c r="JV16" s="78"/>
      <c r="JW16" s="78"/>
      <c r="JX16" s="78"/>
      <c r="JY16" s="78"/>
      <c r="JZ16" s="78"/>
      <c r="KA16" s="78"/>
      <c r="KB16" s="78"/>
      <c r="KC16" s="78"/>
      <c r="KD16" s="78"/>
      <c r="KE16" s="78"/>
      <c r="KF16" s="78"/>
      <c r="KG16" s="78"/>
      <c r="KH16" s="78"/>
      <c r="KI16" s="78"/>
      <c r="KJ16" s="78"/>
      <c r="KK16" s="78"/>
      <c r="KL16" s="78"/>
      <c r="KM16" s="78"/>
      <c r="KN16" s="78"/>
      <c r="KO16" s="78"/>
      <c r="KP16" s="78"/>
      <c r="KQ16" s="78"/>
      <c r="KR16" s="78"/>
      <c r="KS16" s="78"/>
      <c r="KT16" s="78"/>
      <c r="KU16" s="78"/>
      <c r="KV16" s="78"/>
      <c r="KW16" s="78"/>
      <c r="KX16" s="78"/>
      <c r="KY16" s="78"/>
      <c r="KZ16" s="78"/>
      <c r="LA16" s="78"/>
      <c r="LB16" s="78"/>
      <c r="LC16" s="78"/>
      <c r="LD16" s="78"/>
      <c r="LE16" s="78"/>
      <c r="LF16" s="78"/>
      <c r="LG16" s="78"/>
      <c r="LH16" s="78"/>
      <c r="LI16" s="78"/>
      <c r="LJ16" s="78"/>
      <c r="LK16" s="78"/>
      <c r="LL16" s="78"/>
      <c r="LM16" s="78"/>
      <c r="LN16" s="78"/>
      <c r="LO16" s="78"/>
      <c r="LP16" s="78"/>
      <c r="LQ16" s="78"/>
      <c r="LR16" s="78"/>
      <c r="LS16" s="78"/>
      <c r="LT16" s="78"/>
      <c r="LU16" s="78"/>
      <c r="LV16" s="78"/>
      <c r="LW16" s="78"/>
      <c r="LX16" s="78"/>
      <c r="LY16" s="78"/>
      <c r="LZ16" s="78"/>
      <c r="MA16" s="78"/>
      <c r="MB16" s="78"/>
      <c r="MC16" s="78"/>
      <c r="MD16" s="78"/>
      <c r="ME16" s="78"/>
      <c r="MF16" s="78"/>
      <c r="MG16" s="78"/>
      <c r="MH16" s="78"/>
      <c r="MI16" s="78"/>
      <c r="MJ16" s="78"/>
      <c r="MK16" s="78"/>
      <c r="ML16" s="78"/>
      <c r="MM16" s="78"/>
      <c r="MN16" s="78"/>
      <c r="MO16" s="78"/>
      <c r="MP16" s="78"/>
      <c r="MQ16" s="78"/>
      <c r="MR16" s="78"/>
      <c r="MS16" s="78"/>
      <c r="MT16" s="78"/>
      <c r="MU16" s="78"/>
      <c r="MV16" s="78"/>
      <c r="MW16" s="78"/>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c r="EQ18" s="78"/>
      <c r="ER18" s="78"/>
      <c r="ES18" s="78"/>
      <c r="ET18" s="78"/>
      <c r="EU18" s="78"/>
      <c r="EV18" s="78"/>
      <c r="EW18" s="78"/>
      <c r="EX18" s="78"/>
      <c r="EY18" s="78"/>
      <c r="EZ18" s="78"/>
      <c r="FA18" s="78"/>
      <c r="FB18" s="78"/>
      <c r="FC18" s="78"/>
      <c r="FD18" s="78"/>
      <c r="FE18" s="78"/>
      <c r="FF18" s="78"/>
      <c r="FG18" s="78"/>
      <c r="FH18" s="78"/>
      <c r="FI18" s="78"/>
      <c r="FJ18" s="78"/>
      <c r="FK18" s="78"/>
      <c r="FL18" s="78"/>
      <c r="FM18" s="78"/>
      <c r="FN18" s="78"/>
      <c r="FO18" s="78"/>
      <c r="FP18" s="78"/>
      <c r="FQ18" s="78"/>
      <c r="FR18" s="78"/>
      <c r="FS18" s="78"/>
      <c r="FT18" s="78"/>
      <c r="FU18" s="78"/>
      <c r="FV18" s="78"/>
      <c r="FW18" s="78"/>
      <c r="FX18" s="78"/>
      <c r="FY18" s="78"/>
      <c r="FZ18" s="78"/>
      <c r="GA18" s="78"/>
      <c r="GB18" s="78"/>
      <c r="GC18" s="78"/>
      <c r="GD18" s="78"/>
      <c r="GE18" s="78"/>
      <c r="GF18" s="78"/>
      <c r="GG18" s="78"/>
      <c r="GH18" s="78"/>
      <c r="GI18" s="78"/>
      <c r="GJ18" s="78"/>
      <c r="GK18" s="78"/>
      <c r="GL18" s="78"/>
      <c r="GM18" s="78"/>
      <c r="GN18" s="78"/>
      <c r="GO18" s="78"/>
      <c r="GP18" s="78"/>
      <c r="GQ18" s="78"/>
      <c r="GR18" s="78"/>
      <c r="GS18" s="78"/>
      <c r="GT18" s="78"/>
      <c r="GU18" s="78"/>
      <c r="GV18" s="78"/>
      <c r="GW18" s="78"/>
      <c r="GX18" s="78"/>
      <c r="GY18" s="78"/>
      <c r="GZ18" s="78"/>
      <c r="HA18" s="78"/>
      <c r="HB18" s="78"/>
      <c r="HC18" s="78"/>
      <c r="HD18" s="78"/>
      <c r="HE18" s="78"/>
      <c r="HF18" s="78"/>
      <c r="HG18" s="78"/>
      <c r="HH18" s="78"/>
      <c r="HI18" s="78"/>
      <c r="HJ18" s="78"/>
      <c r="HK18" s="78"/>
      <c r="HL18" s="78"/>
      <c r="HM18" s="78"/>
      <c r="HN18" s="78"/>
      <c r="HO18" s="78"/>
      <c r="HP18" s="78"/>
      <c r="HQ18" s="78"/>
      <c r="HR18" s="78"/>
      <c r="HS18" s="78"/>
      <c r="HT18" s="78"/>
      <c r="HU18" s="78"/>
      <c r="HV18" s="78"/>
      <c r="HW18" s="78"/>
      <c r="HX18" s="78"/>
      <c r="HY18" s="78"/>
      <c r="HZ18" s="78"/>
      <c r="IA18" s="78"/>
      <c r="IB18" s="78"/>
      <c r="IC18" s="78"/>
      <c r="ID18" s="78"/>
      <c r="IE18" s="78"/>
      <c r="IF18" s="78"/>
      <c r="IG18" s="78"/>
      <c r="IH18" s="78"/>
      <c r="II18" s="78"/>
      <c r="IJ18" s="78"/>
      <c r="IK18" s="78"/>
      <c r="IL18" s="78"/>
      <c r="IM18" s="78"/>
      <c r="IN18" s="78"/>
      <c r="IO18" s="78"/>
      <c r="IP18" s="78"/>
      <c r="IQ18" s="78"/>
      <c r="IR18" s="78"/>
      <c r="IS18" s="78"/>
      <c r="IT18" s="78"/>
      <c r="IU18" s="78"/>
      <c r="IV18" s="78"/>
      <c r="IW18" s="78"/>
      <c r="IX18" s="78"/>
      <c r="IY18" s="78"/>
      <c r="IZ18" s="78"/>
      <c r="JA18" s="78"/>
      <c r="JB18" s="78"/>
      <c r="JC18" s="78"/>
      <c r="JD18" s="78"/>
      <c r="JE18" s="78"/>
      <c r="JF18" s="78"/>
      <c r="JG18" s="78"/>
      <c r="JH18" s="78"/>
      <c r="JI18" s="78"/>
      <c r="JJ18" s="78"/>
      <c r="JK18" s="78"/>
      <c r="JL18" s="78"/>
      <c r="JM18" s="78"/>
      <c r="JN18" s="78"/>
      <c r="JO18" s="78"/>
      <c r="JP18" s="78"/>
      <c r="JQ18" s="78"/>
      <c r="JR18" s="78"/>
      <c r="JS18" s="78"/>
      <c r="JT18" s="78"/>
      <c r="JU18" s="78"/>
      <c r="JV18" s="78"/>
      <c r="JW18" s="78"/>
      <c r="JX18" s="78"/>
      <c r="JY18" s="78"/>
      <c r="JZ18" s="78"/>
      <c r="KA18" s="78"/>
      <c r="KB18" s="78"/>
      <c r="KC18" s="78"/>
      <c r="KD18" s="78"/>
      <c r="KE18" s="78"/>
      <c r="KF18" s="78"/>
      <c r="KG18" s="78"/>
      <c r="KH18" s="78"/>
      <c r="KI18" s="78"/>
      <c r="KJ18" s="78"/>
      <c r="KK18" s="78"/>
      <c r="KL18" s="78"/>
      <c r="KM18" s="78"/>
      <c r="KN18" s="78"/>
      <c r="KO18" s="78"/>
      <c r="KP18" s="78"/>
      <c r="KQ18" s="78"/>
      <c r="KR18" s="78"/>
      <c r="KS18" s="78"/>
      <c r="KT18" s="78"/>
      <c r="KU18" s="78"/>
      <c r="KV18" s="78"/>
      <c r="KW18" s="78"/>
      <c r="KX18" s="78"/>
      <c r="KY18" s="78"/>
      <c r="KZ18" s="78"/>
      <c r="LA18" s="78"/>
      <c r="LB18" s="78"/>
      <c r="LC18" s="78"/>
      <c r="LD18" s="78"/>
      <c r="LE18" s="78"/>
      <c r="LF18" s="78"/>
      <c r="LG18" s="78"/>
      <c r="LH18" s="78"/>
      <c r="LI18" s="78"/>
      <c r="LJ18" s="78"/>
      <c r="LK18" s="78"/>
      <c r="LL18" s="78"/>
      <c r="LM18" s="78"/>
      <c r="LN18" s="78"/>
      <c r="LO18" s="78"/>
      <c r="LP18" s="78"/>
      <c r="LQ18" s="78"/>
      <c r="LR18" s="78"/>
      <c r="LS18" s="78"/>
      <c r="LT18" s="78"/>
      <c r="LU18" s="78"/>
      <c r="LV18" s="78"/>
      <c r="LW18" s="78"/>
      <c r="LX18" s="78"/>
      <c r="LY18" s="78"/>
      <c r="LZ18" s="78"/>
      <c r="MA18" s="78"/>
      <c r="MB18" s="78"/>
      <c r="MC18" s="78"/>
      <c r="MD18" s="78"/>
      <c r="ME18" s="78"/>
      <c r="MF18" s="78"/>
      <c r="MG18" s="78"/>
      <c r="MH18" s="78"/>
      <c r="MI18" s="78"/>
      <c r="MJ18" s="78"/>
      <c r="MK18" s="78"/>
      <c r="ML18" s="78"/>
      <c r="MM18" s="78"/>
      <c r="MN18" s="78"/>
      <c r="MO18" s="78"/>
      <c r="MP18" s="78"/>
      <c r="MQ18" s="78"/>
      <c r="MR18" s="78"/>
      <c r="MS18" s="78"/>
      <c r="MT18" s="78"/>
      <c r="MU18" s="78"/>
      <c r="MV18" s="78"/>
      <c r="MW18" s="78"/>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78"/>
      <c r="EO20" s="78"/>
      <c r="EP20" s="78"/>
      <c r="EQ20" s="78"/>
      <c r="ER20" s="78"/>
      <c r="ES20" s="78"/>
      <c r="ET20" s="78"/>
      <c r="EU20" s="78"/>
      <c r="EV20" s="78"/>
      <c r="EW20" s="78"/>
      <c r="EX20" s="78"/>
      <c r="EY20" s="78"/>
      <c r="EZ20" s="78"/>
      <c r="FA20" s="78"/>
      <c r="FB20" s="78"/>
      <c r="FC20" s="78"/>
      <c r="FD20" s="78"/>
      <c r="FE20" s="78"/>
      <c r="FF20" s="78"/>
      <c r="FG20" s="78"/>
      <c r="FH20" s="78"/>
      <c r="FI20" s="78"/>
      <c r="FJ20" s="78"/>
      <c r="FK20" s="78"/>
      <c r="FL20" s="78"/>
      <c r="FM20" s="78"/>
      <c r="FN20" s="78"/>
      <c r="FO20" s="78"/>
      <c r="FP20" s="78"/>
      <c r="FQ20" s="78"/>
      <c r="FR20" s="78"/>
      <c r="FS20" s="78"/>
      <c r="FT20" s="78"/>
      <c r="FU20" s="78"/>
      <c r="FV20" s="78"/>
      <c r="FW20" s="78"/>
      <c r="FX20" s="78"/>
      <c r="FY20" s="78"/>
      <c r="FZ20" s="78"/>
      <c r="GA20" s="78"/>
      <c r="GB20" s="78"/>
      <c r="GC20" s="78"/>
      <c r="GD20" s="78"/>
      <c r="GE20" s="78"/>
      <c r="GF20" s="78"/>
      <c r="GG20" s="78"/>
      <c r="GH20" s="78"/>
      <c r="GI20" s="78"/>
      <c r="GJ20" s="78"/>
      <c r="GK20" s="78"/>
      <c r="GL20" s="78"/>
      <c r="GM20" s="78"/>
      <c r="GN20" s="78"/>
      <c r="GO20" s="78"/>
      <c r="GP20" s="78"/>
      <c r="GQ20" s="78"/>
      <c r="GR20" s="78"/>
      <c r="GS20" s="78"/>
      <c r="GT20" s="78"/>
      <c r="GU20" s="78"/>
      <c r="GV20" s="78"/>
      <c r="GW20" s="78"/>
      <c r="GX20" s="78"/>
      <c r="GY20" s="78"/>
      <c r="GZ20" s="78"/>
      <c r="HA20" s="78"/>
      <c r="HB20" s="78"/>
      <c r="HC20" s="78"/>
      <c r="HD20" s="78"/>
      <c r="HE20" s="78"/>
      <c r="HF20" s="78"/>
      <c r="HG20" s="78"/>
      <c r="HH20" s="78"/>
      <c r="HI20" s="78"/>
      <c r="HJ20" s="78"/>
      <c r="HK20" s="78"/>
      <c r="HL20" s="78"/>
      <c r="HM20" s="78"/>
      <c r="HN20" s="78"/>
      <c r="HO20" s="78"/>
      <c r="HP20" s="78"/>
      <c r="HQ20" s="78"/>
      <c r="HR20" s="78"/>
      <c r="HS20" s="78"/>
      <c r="HT20" s="78"/>
      <c r="HU20" s="78"/>
      <c r="HV20" s="78"/>
      <c r="HW20" s="78"/>
      <c r="HX20" s="78"/>
      <c r="HY20" s="78"/>
      <c r="HZ20" s="78"/>
      <c r="IA20" s="78"/>
      <c r="IB20" s="78"/>
      <c r="IC20" s="78"/>
      <c r="ID20" s="78"/>
      <c r="IE20" s="78"/>
      <c r="IF20" s="78"/>
      <c r="IG20" s="78"/>
      <c r="IH20" s="78"/>
      <c r="II20" s="78"/>
      <c r="IJ20" s="78"/>
      <c r="IK20" s="78"/>
      <c r="IL20" s="78"/>
      <c r="IM20" s="78"/>
      <c r="IN20" s="78"/>
      <c r="IO20" s="78"/>
      <c r="IP20" s="78"/>
      <c r="IQ20" s="78"/>
      <c r="IR20" s="78"/>
      <c r="IS20" s="78"/>
      <c r="IT20" s="78"/>
      <c r="IU20" s="78"/>
      <c r="IV20" s="78"/>
      <c r="IW20" s="78"/>
      <c r="IX20" s="78"/>
      <c r="IY20" s="78"/>
      <c r="IZ20" s="78"/>
      <c r="JA20" s="78"/>
      <c r="JB20" s="78"/>
      <c r="JC20" s="78"/>
      <c r="JD20" s="78"/>
      <c r="JE20" s="78"/>
      <c r="JF20" s="78"/>
      <c r="JG20" s="78"/>
      <c r="JH20" s="78"/>
      <c r="JI20" s="78"/>
      <c r="JJ20" s="78"/>
      <c r="JK20" s="78"/>
      <c r="JL20" s="78"/>
      <c r="JM20" s="78"/>
      <c r="JN20" s="78"/>
      <c r="JO20" s="78"/>
      <c r="JP20" s="78"/>
      <c r="JQ20" s="78"/>
      <c r="JR20" s="78"/>
      <c r="JS20" s="78"/>
      <c r="JT20" s="78"/>
      <c r="JU20" s="78"/>
      <c r="JV20" s="78"/>
      <c r="JW20" s="78"/>
      <c r="JX20" s="78"/>
      <c r="JY20" s="78"/>
      <c r="JZ20" s="78"/>
      <c r="KA20" s="78"/>
      <c r="KB20" s="78"/>
      <c r="KC20" s="78"/>
      <c r="KD20" s="78"/>
      <c r="KE20" s="78"/>
      <c r="KF20" s="78"/>
      <c r="KG20" s="78"/>
      <c r="KH20" s="78"/>
      <c r="KI20" s="78"/>
      <c r="KJ20" s="78"/>
      <c r="KK20" s="78"/>
      <c r="KL20" s="78"/>
      <c r="KM20" s="78"/>
      <c r="KN20" s="78"/>
      <c r="KO20" s="78"/>
      <c r="KP20" s="78"/>
      <c r="KQ20" s="78"/>
      <c r="KR20" s="78"/>
      <c r="KS20" s="78"/>
      <c r="KT20" s="78"/>
      <c r="KU20" s="78"/>
      <c r="KV20" s="78"/>
      <c r="KW20" s="78"/>
      <c r="KX20" s="78"/>
      <c r="KY20" s="78"/>
      <c r="KZ20" s="78"/>
      <c r="LA20" s="78"/>
      <c r="LB20" s="78"/>
      <c r="LC20" s="78"/>
      <c r="LD20" s="78"/>
      <c r="LE20" s="78"/>
      <c r="LF20" s="78"/>
      <c r="LG20" s="78"/>
      <c r="LH20" s="78"/>
      <c r="LI20" s="78"/>
      <c r="LJ20" s="78"/>
      <c r="LK20" s="78"/>
      <c r="LL20" s="78"/>
      <c r="LM20" s="78"/>
      <c r="LN20" s="78"/>
      <c r="LO20" s="78"/>
      <c r="LP20" s="78"/>
      <c r="LQ20" s="78"/>
      <c r="LR20" s="78"/>
      <c r="LS20" s="78"/>
      <c r="LT20" s="78"/>
      <c r="LU20" s="78"/>
      <c r="LV20" s="78"/>
      <c r="LW20" s="78"/>
      <c r="LX20" s="78"/>
      <c r="LY20" s="78"/>
      <c r="LZ20" s="78"/>
      <c r="MA20" s="78"/>
      <c r="MB20" s="78"/>
      <c r="MC20" s="78"/>
      <c r="MD20" s="78"/>
      <c r="ME20" s="78"/>
      <c r="MF20" s="78"/>
      <c r="MG20" s="78"/>
      <c r="MH20" s="78"/>
      <c r="MI20" s="78"/>
      <c r="MJ20" s="78"/>
      <c r="MK20" s="78"/>
      <c r="ML20" s="78"/>
      <c r="MM20" s="78"/>
      <c r="MN20" s="78"/>
      <c r="MO20" s="78"/>
      <c r="MP20" s="78"/>
      <c r="MQ20" s="78"/>
      <c r="MR20" s="78"/>
      <c r="MS20" s="78"/>
      <c r="MT20" s="78"/>
      <c r="MU20" s="78"/>
      <c r="MV20" s="78"/>
      <c r="MW20" s="78"/>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c r="KA21" s="79"/>
      <c r="KB21" s="79"/>
      <c r="KC21" s="79"/>
      <c r="KD21" s="79"/>
      <c r="KE21" s="79"/>
      <c r="KF21" s="79"/>
      <c r="KG21" s="79"/>
      <c r="KH21" s="79"/>
      <c r="KI21" s="79"/>
      <c r="KJ21" s="79"/>
      <c r="KK21" s="79"/>
      <c r="KL21" s="79"/>
      <c r="KM21" s="79"/>
      <c r="KN21" s="79"/>
      <c r="KO21" s="79"/>
      <c r="KP21" s="79"/>
      <c r="KQ21" s="79"/>
      <c r="KR21" s="79"/>
      <c r="KS21" s="79"/>
      <c r="KT21" s="79"/>
      <c r="KU21" s="79"/>
      <c r="KV21" s="79"/>
      <c r="KW21" s="79"/>
      <c r="KX21" s="79"/>
      <c r="KY21" s="79"/>
      <c r="KZ21" s="79"/>
      <c r="LA21" s="79"/>
      <c r="LB21" s="79"/>
      <c r="LC21" s="79"/>
      <c r="LD21" s="79"/>
      <c r="LE21" s="79"/>
      <c r="LF21" s="79"/>
      <c r="LG21" s="79"/>
      <c r="LH21" s="79"/>
      <c r="LI21" s="79"/>
      <c r="LJ21" s="79"/>
      <c r="LK21" s="79"/>
      <c r="LL21" s="79"/>
      <c r="LM21" s="79"/>
      <c r="LN21" s="79"/>
      <c r="LO21" s="79"/>
      <c r="LP21" s="79"/>
      <c r="LQ21" s="79"/>
      <c r="LR21" s="79"/>
      <c r="LS21" s="79"/>
      <c r="LT21" s="79"/>
      <c r="LU21" s="79"/>
      <c r="LV21" s="79"/>
      <c r="LW21" s="79"/>
      <c r="LX21" s="79"/>
      <c r="LY21" s="79"/>
      <c r="LZ21" s="79"/>
      <c r="MA21" s="79"/>
      <c r="MB21" s="79"/>
      <c r="MC21" s="79"/>
      <c r="MD21" s="79"/>
      <c r="ME21" s="79"/>
      <c r="MF21" s="79"/>
      <c r="MG21" s="79"/>
      <c r="MH21" s="79"/>
      <c r="MI21" s="79"/>
      <c r="MJ21" s="79"/>
      <c r="MK21" s="79"/>
      <c r="ML21" s="79"/>
      <c r="MM21" s="79"/>
      <c r="MN21" s="79"/>
      <c r="MO21" s="79"/>
      <c r="MP21" s="79"/>
      <c r="MQ21" s="79"/>
      <c r="MR21" s="79"/>
      <c r="MS21" s="79"/>
      <c r="MT21" s="79"/>
      <c r="MU21" s="79"/>
      <c r="MV21" s="79"/>
      <c r="MW21" s="79"/>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78"/>
      <c r="EO22" s="78"/>
      <c r="EP22" s="78"/>
      <c r="EQ22" s="78"/>
      <c r="ER22" s="78"/>
      <c r="ES22" s="78"/>
      <c r="ET22" s="78"/>
      <c r="EU22" s="78"/>
      <c r="EV22" s="78"/>
      <c r="EW22" s="78"/>
      <c r="EX22" s="78"/>
      <c r="EY22" s="78"/>
      <c r="EZ22" s="78"/>
      <c r="FA22" s="78"/>
      <c r="FB22" s="78"/>
      <c r="FC22" s="78"/>
      <c r="FD22" s="78"/>
      <c r="FE22" s="78"/>
      <c r="FF22" s="78"/>
      <c r="FG22" s="78"/>
      <c r="FH22" s="78"/>
      <c r="FI22" s="78"/>
      <c r="FJ22" s="78"/>
      <c r="FK22" s="78"/>
      <c r="FL22" s="78"/>
      <c r="FM22" s="78"/>
      <c r="FN22" s="78"/>
      <c r="FO22" s="78"/>
      <c r="FP22" s="78"/>
      <c r="FQ22" s="78"/>
      <c r="FR22" s="78"/>
      <c r="FS22" s="78"/>
      <c r="FT22" s="78"/>
      <c r="FU22" s="78"/>
      <c r="FV22" s="78"/>
      <c r="FW22" s="78"/>
      <c r="FX22" s="78"/>
      <c r="FY22" s="78"/>
      <c r="FZ22" s="78"/>
      <c r="GA22" s="78"/>
      <c r="GB22" s="78"/>
      <c r="GC22" s="78"/>
      <c r="GD22" s="78"/>
      <c r="GE22" s="78"/>
      <c r="GF22" s="78"/>
      <c r="GG22" s="78"/>
      <c r="GH22" s="78"/>
      <c r="GI22" s="78"/>
      <c r="GJ22" s="78"/>
      <c r="GK22" s="78"/>
      <c r="GL22" s="78"/>
      <c r="GM22" s="78"/>
      <c r="GN22" s="78"/>
      <c r="GO22" s="78"/>
      <c r="GP22" s="78"/>
      <c r="GQ22" s="78"/>
      <c r="GR22" s="78"/>
      <c r="GS22" s="78"/>
      <c r="GT22" s="78"/>
      <c r="GU22" s="78"/>
      <c r="GV22" s="78"/>
      <c r="GW22" s="78"/>
      <c r="GX22" s="78"/>
      <c r="GY22" s="78"/>
      <c r="GZ22" s="78"/>
      <c r="HA22" s="78"/>
      <c r="HB22" s="78"/>
      <c r="HC22" s="78"/>
      <c r="HD22" s="78"/>
      <c r="HE22" s="78"/>
      <c r="HF22" s="78"/>
      <c r="HG22" s="78"/>
      <c r="HH22" s="78"/>
      <c r="HI22" s="78"/>
      <c r="HJ22" s="78"/>
      <c r="HK22" s="78"/>
      <c r="HL22" s="78"/>
      <c r="HM22" s="78"/>
      <c r="HN22" s="78"/>
      <c r="HO22" s="78"/>
      <c r="HP22" s="78"/>
      <c r="HQ22" s="78"/>
      <c r="HR22" s="78"/>
      <c r="HS22" s="78"/>
      <c r="HT22" s="78"/>
      <c r="HU22" s="78"/>
      <c r="HV22" s="78"/>
      <c r="HW22" s="78"/>
      <c r="HX22" s="78"/>
      <c r="HY22" s="78"/>
      <c r="HZ22" s="78"/>
      <c r="IA22" s="78"/>
      <c r="IB22" s="78"/>
      <c r="IC22" s="78"/>
      <c r="ID22" s="78"/>
      <c r="IE22" s="78"/>
      <c r="IF22" s="78"/>
      <c r="IG22" s="78"/>
      <c r="IH22" s="78"/>
      <c r="II22" s="78"/>
      <c r="IJ22" s="78"/>
      <c r="IK22" s="78"/>
      <c r="IL22" s="78"/>
      <c r="IM22" s="78"/>
      <c r="IN22" s="78"/>
      <c r="IO22" s="78"/>
      <c r="IP22" s="78"/>
      <c r="IQ22" s="78"/>
      <c r="IR22" s="78"/>
      <c r="IS22" s="78"/>
      <c r="IT22" s="78"/>
      <c r="IU22" s="78"/>
      <c r="IV22" s="78"/>
      <c r="IW22" s="78"/>
      <c r="IX22" s="78"/>
      <c r="IY22" s="78"/>
      <c r="IZ22" s="78"/>
      <c r="JA22" s="78"/>
      <c r="JB22" s="78"/>
      <c r="JC22" s="78"/>
      <c r="JD22" s="78"/>
      <c r="JE22" s="78"/>
      <c r="JF22" s="78"/>
      <c r="JG22" s="78"/>
      <c r="JH22" s="78"/>
      <c r="JI22" s="78"/>
      <c r="JJ22" s="78"/>
      <c r="JK22" s="78"/>
      <c r="JL22" s="78"/>
      <c r="JM22" s="78"/>
      <c r="JN22" s="78"/>
      <c r="JO22" s="78"/>
      <c r="JP22" s="78"/>
      <c r="JQ22" s="78"/>
      <c r="JR22" s="78"/>
      <c r="JS22" s="78"/>
      <c r="JT22" s="78"/>
      <c r="JU22" s="78"/>
      <c r="JV22" s="78"/>
      <c r="JW22" s="78"/>
      <c r="JX22" s="78"/>
      <c r="JY22" s="78"/>
      <c r="JZ22" s="78"/>
      <c r="KA22" s="78"/>
      <c r="KB22" s="78"/>
      <c r="KC22" s="78"/>
      <c r="KD22" s="78"/>
      <c r="KE22" s="78"/>
      <c r="KF22" s="78"/>
      <c r="KG22" s="78"/>
      <c r="KH22" s="78"/>
      <c r="KI22" s="78"/>
      <c r="KJ22" s="78"/>
      <c r="KK22" s="78"/>
      <c r="KL22" s="78"/>
      <c r="KM22" s="78"/>
      <c r="KN22" s="78"/>
      <c r="KO22" s="78"/>
      <c r="KP22" s="78"/>
      <c r="KQ22" s="78"/>
      <c r="KR22" s="78"/>
      <c r="KS22" s="78"/>
      <c r="KT22" s="78"/>
      <c r="KU22" s="78"/>
      <c r="KV22" s="78"/>
      <c r="KW22" s="78"/>
      <c r="KX22" s="78"/>
      <c r="KY22" s="78"/>
      <c r="KZ22" s="78"/>
      <c r="LA22" s="78"/>
      <c r="LB22" s="78"/>
      <c r="LC22" s="78"/>
      <c r="LD22" s="78"/>
      <c r="LE22" s="78"/>
      <c r="LF22" s="78"/>
      <c r="LG22" s="78"/>
      <c r="LH22" s="78"/>
      <c r="LI22" s="78"/>
      <c r="LJ22" s="78"/>
      <c r="LK22" s="78"/>
      <c r="LL22" s="78"/>
      <c r="LM22" s="78"/>
      <c r="LN22" s="78"/>
      <c r="LO22" s="78"/>
      <c r="LP22" s="78"/>
      <c r="LQ22" s="78"/>
      <c r="LR22" s="78"/>
      <c r="LS22" s="78"/>
      <c r="LT22" s="78"/>
      <c r="LU22" s="78"/>
      <c r="LV22" s="78"/>
      <c r="LW22" s="78"/>
      <c r="LX22" s="78"/>
      <c r="LY22" s="78"/>
      <c r="LZ22" s="78"/>
      <c r="MA22" s="78"/>
      <c r="MB22" s="78"/>
      <c r="MC22" s="78"/>
      <c r="MD22" s="78"/>
      <c r="ME22" s="78"/>
      <c r="MF22" s="78"/>
      <c r="MG22" s="78"/>
      <c r="MH22" s="78"/>
      <c r="MI22" s="78"/>
      <c r="MJ22" s="78"/>
      <c r="MK22" s="78"/>
      <c r="ML22" s="78"/>
      <c r="MM22" s="78"/>
      <c r="MN22" s="78"/>
      <c r="MO22" s="78"/>
      <c r="MP22" s="78"/>
      <c r="MQ22" s="78"/>
      <c r="MR22" s="78"/>
      <c r="MS22" s="78"/>
      <c r="MT22" s="78"/>
      <c r="MU22" s="78"/>
      <c r="MV22" s="78"/>
      <c r="MW22" s="78"/>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c r="CK24" s="78"/>
      <c r="CL24" s="78"/>
      <c r="CM24" s="78"/>
      <c r="CN24" s="78"/>
      <c r="CO24" s="78"/>
      <c r="CP24" s="78"/>
      <c r="CQ24" s="78"/>
      <c r="CR24" s="78"/>
      <c r="CS24" s="78"/>
      <c r="CT24" s="78"/>
      <c r="CU24" s="78"/>
      <c r="CV24" s="78"/>
      <c r="CW24" s="78"/>
      <c r="CX24" s="78"/>
      <c r="CY24" s="78"/>
      <c r="CZ24" s="78"/>
      <c r="DA24" s="78"/>
      <c r="DB24" s="78"/>
      <c r="DC24" s="78"/>
      <c r="DD24" s="78"/>
      <c r="DE24" s="78"/>
      <c r="DF24" s="78"/>
      <c r="DG24" s="78"/>
      <c r="DH24" s="78"/>
      <c r="DI24" s="78"/>
      <c r="DJ24" s="78"/>
      <c r="DK24" s="78"/>
      <c r="DL24" s="78"/>
      <c r="DM24" s="78"/>
      <c r="DN24" s="78"/>
      <c r="DO24" s="78"/>
      <c r="DP24" s="78"/>
      <c r="DQ24" s="78"/>
      <c r="DR24" s="78"/>
      <c r="DS24" s="78"/>
      <c r="DT24" s="78"/>
      <c r="DU24" s="78"/>
      <c r="DV24" s="78"/>
      <c r="DW24" s="78"/>
      <c r="DX24" s="78"/>
      <c r="DY24" s="78"/>
      <c r="DZ24" s="78"/>
      <c r="EA24" s="78"/>
      <c r="EB24" s="78"/>
      <c r="EC24" s="78"/>
      <c r="ED24" s="78"/>
      <c r="EE24" s="78"/>
      <c r="EF24" s="78"/>
      <c r="EG24" s="78"/>
      <c r="EH24" s="78"/>
      <c r="EI24" s="78"/>
      <c r="EJ24" s="78"/>
      <c r="EK24" s="78"/>
      <c r="EL24" s="78"/>
      <c r="EM24" s="78"/>
      <c r="EN24" s="78"/>
      <c r="EO24" s="78"/>
      <c r="EP24" s="78"/>
      <c r="EQ24" s="78"/>
      <c r="ER24" s="78"/>
      <c r="ES24" s="78"/>
      <c r="ET24" s="78"/>
      <c r="EU24" s="78"/>
      <c r="EV24" s="78"/>
      <c r="EW24" s="78"/>
      <c r="EX24" s="78"/>
      <c r="EY24" s="78"/>
      <c r="EZ24" s="78"/>
      <c r="FA24" s="78"/>
      <c r="FB24" s="78"/>
      <c r="FC24" s="78"/>
      <c r="FD24" s="78"/>
      <c r="FE24" s="78"/>
      <c r="FF24" s="78"/>
      <c r="FG24" s="78"/>
      <c r="FH24" s="78"/>
      <c r="FI24" s="78"/>
      <c r="FJ24" s="78"/>
      <c r="FK24" s="78"/>
      <c r="FL24" s="78"/>
      <c r="FM24" s="78"/>
      <c r="FN24" s="78"/>
      <c r="FO24" s="78"/>
      <c r="FP24" s="78"/>
      <c r="FQ24" s="78"/>
      <c r="FR24" s="78"/>
      <c r="FS24" s="78"/>
      <c r="FT24" s="78"/>
      <c r="FU24" s="78"/>
      <c r="FV24" s="78"/>
      <c r="FW24" s="78"/>
      <c r="FX24" s="78"/>
      <c r="FY24" s="78"/>
      <c r="FZ24" s="78"/>
      <c r="GA24" s="78"/>
      <c r="GB24" s="78"/>
      <c r="GC24" s="78"/>
      <c r="GD24" s="78"/>
      <c r="GE24" s="78"/>
      <c r="GF24" s="78"/>
      <c r="GG24" s="78"/>
      <c r="GH24" s="78"/>
      <c r="GI24" s="78"/>
      <c r="GJ24" s="78"/>
      <c r="GK24" s="78"/>
      <c r="GL24" s="78"/>
      <c r="GM24" s="78"/>
      <c r="GN24" s="78"/>
      <c r="GO24" s="78"/>
      <c r="GP24" s="78"/>
      <c r="GQ24" s="78"/>
      <c r="GR24" s="78"/>
      <c r="GS24" s="78"/>
      <c r="GT24" s="78"/>
      <c r="GU24" s="78"/>
      <c r="GV24" s="78"/>
      <c r="GW24" s="78"/>
      <c r="GX24" s="78"/>
      <c r="GY24" s="78"/>
      <c r="GZ24" s="78"/>
      <c r="HA24" s="78"/>
      <c r="HB24" s="78"/>
      <c r="HC24" s="78"/>
      <c r="HD24" s="78"/>
      <c r="HE24" s="78"/>
      <c r="HF24" s="78"/>
      <c r="HG24" s="78"/>
      <c r="HH24" s="78"/>
      <c r="HI24" s="78"/>
      <c r="HJ24" s="78"/>
      <c r="HK24" s="78"/>
      <c r="HL24" s="78"/>
      <c r="HM24" s="78"/>
      <c r="HN24" s="78"/>
      <c r="HO24" s="78"/>
      <c r="HP24" s="78"/>
      <c r="HQ24" s="78"/>
      <c r="HR24" s="78"/>
      <c r="HS24" s="78"/>
      <c r="HT24" s="78"/>
      <c r="HU24" s="78"/>
      <c r="HV24" s="78"/>
      <c r="HW24" s="78"/>
      <c r="HX24" s="78"/>
      <c r="HY24" s="78"/>
      <c r="HZ24" s="78"/>
      <c r="IA24" s="78"/>
      <c r="IB24" s="78"/>
      <c r="IC24" s="78"/>
      <c r="ID24" s="78"/>
      <c r="IE24" s="78"/>
      <c r="IF24" s="78"/>
      <c r="IG24" s="78"/>
      <c r="IH24" s="78"/>
      <c r="II24" s="78"/>
      <c r="IJ24" s="78"/>
      <c r="IK24" s="78"/>
      <c r="IL24" s="78"/>
      <c r="IM24" s="78"/>
      <c r="IN24" s="78"/>
      <c r="IO24" s="78"/>
      <c r="IP24" s="78"/>
      <c r="IQ24" s="78"/>
      <c r="IR24" s="78"/>
      <c r="IS24" s="78"/>
      <c r="IT24" s="78"/>
      <c r="IU24" s="78"/>
      <c r="IV24" s="78"/>
      <c r="IW24" s="78"/>
      <c r="IX24" s="78"/>
      <c r="IY24" s="78"/>
      <c r="IZ24" s="78"/>
      <c r="JA24" s="78"/>
      <c r="JB24" s="78"/>
      <c r="JC24" s="78"/>
      <c r="JD24" s="78"/>
      <c r="JE24" s="78"/>
      <c r="JF24" s="78"/>
      <c r="JG24" s="78"/>
      <c r="JH24" s="78"/>
      <c r="JI24" s="78"/>
      <c r="JJ24" s="78"/>
      <c r="JK24" s="78"/>
      <c r="JL24" s="78"/>
      <c r="JM24" s="78"/>
      <c r="JN24" s="78"/>
      <c r="JO24" s="78"/>
      <c r="JP24" s="78"/>
      <c r="JQ24" s="78"/>
      <c r="JR24" s="78"/>
      <c r="JS24" s="78"/>
      <c r="JT24" s="78"/>
      <c r="JU24" s="78"/>
      <c r="JV24" s="78"/>
      <c r="JW24" s="78"/>
      <c r="JX24" s="78"/>
      <c r="JY24" s="78"/>
      <c r="JZ24" s="78"/>
      <c r="KA24" s="78"/>
      <c r="KB24" s="78"/>
      <c r="KC24" s="78"/>
      <c r="KD24" s="78"/>
      <c r="KE24" s="78"/>
      <c r="KF24" s="78"/>
      <c r="KG24" s="78"/>
      <c r="KH24" s="78"/>
      <c r="KI24" s="78"/>
      <c r="KJ24" s="78"/>
      <c r="KK24" s="78"/>
      <c r="KL24" s="78"/>
      <c r="KM24" s="78"/>
      <c r="KN24" s="78"/>
      <c r="KO24" s="78"/>
      <c r="KP24" s="78"/>
      <c r="KQ24" s="78"/>
      <c r="KR24" s="78"/>
      <c r="KS24" s="78"/>
      <c r="KT24" s="78"/>
      <c r="KU24" s="78"/>
      <c r="KV24" s="78"/>
      <c r="KW24" s="78"/>
      <c r="KX24" s="78"/>
      <c r="KY24" s="78"/>
      <c r="KZ24" s="78"/>
      <c r="LA24" s="78"/>
      <c r="LB24" s="78"/>
      <c r="LC24" s="78"/>
      <c r="LD24" s="78"/>
      <c r="LE24" s="78"/>
      <c r="LF24" s="78"/>
      <c r="LG24" s="78"/>
      <c r="LH24" s="78"/>
      <c r="LI24" s="78"/>
      <c r="LJ24" s="78"/>
      <c r="LK24" s="78"/>
      <c r="LL24" s="78"/>
      <c r="LM24" s="78"/>
      <c r="LN24" s="78"/>
      <c r="LO24" s="78"/>
      <c r="LP24" s="78"/>
      <c r="LQ24" s="78"/>
      <c r="LR24" s="78"/>
      <c r="LS24" s="78"/>
      <c r="LT24" s="78"/>
      <c r="LU24" s="78"/>
      <c r="LV24" s="78"/>
      <c r="LW24" s="78"/>
      <c r="LX24" s="78"/>
      <c r="LY24" s="78"/>
      <c r="LZ24" s="78"/>
      <c r="MA24" s="78"/>
      <c r="MB24" s="78"/>
      <c r="MC24" s="78"/>
      <c r="MD24" s="78"/>
      <c r="ME24" s="78"/>
      <c r="MF24" s="78"/>
      <c r="MG24" s="78"/>
      <c r="MH24" s="78"/>
      <c r="MI24" s="78"/>
      <c r="MJ24" s="78"/>
      <c r="MK24" s="78"/>
      <c r="ML24" s="78"/>
      <c r="MM24" s="78"/>
      <c r="MN24" s="78"/>
      <c r="MO24" s="78"/>
      <c r="MP24" s="78"/>
      <c r="MQ24" s="78"/>
      <c r="MR24" s="78"/>
      <c r="MS24" s="78"/>
      <c r="MT24" s="78"/>
      <c r="MU24" s="78"/>
      <c r="MV24" s="78"/>
      <c r="MW24" s="78"/>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78"/>
      <c r="EO26" s="78"/>
      <c r="EP26" s="78"/>
      <c r="EQ26" s="78"/>
      <c r="ER26" s="78"/>
      <c r="ES26" s="78"/>
      <c r="ET26" s="78"/>
      <c r="EU26" s="78"/>
      <c r="EV26" s="78"/>
      <c r="EW26" s="78"/>
      <c r="EX26" s="78"/>
      <c r="EY26" s="78"/>
      <c r="EZ26" s="78"/>
      <c r="FA26" s="78"/>
      <c r="FB26" s="78"/>
      <c r="FC26" s="78"/>
      <c r="FD26" s="78"/>
      <c r="FE26" s="78"/>
      <c r="FF26" s="78"/>
      <c r="FG26" s="78"/>
      <c r="FH26" s="78"/>
      <c r="FI26" s="78"/>
      <c r="FJ26" s="78"/>
      <c r="FK26" s="78"/>
      <c r="FL26" s="78"/>
      <c r="FM26" s="78"/>
      <c r="FN26" s="78"/>
      <c r="FO26" s="78"/>
      <c r="FP26" s="78"/>
      <c r="FQ26" s="78"/>
      <c r="FR26" s="78"/>
      <c r="FS26" s="78"/>
      <c r="FT26" s="78"/>
      <c r="FU26" s="78"/>
      <c r="FV26" s="78"/>
      <c r="FW26" s="78"/>
      <c r="FX26" s="78"/>
      <c r="FY26" s="78"/>
      <c r="FZ26" s="78"/>
      <c r="GA26" s="78"/>
      <c r="GB26" s="78"/>
      <c r="GC26" s="78"/>
      <c r="GD26" s="78"/>
      <c r="GE26" s="78"/>
      <c r="GF26" s="78"/>
      <c r="GG26" s="78"/>
      <c r="GH26" s="78"/>
      <c r="GI26" s="78"/>
      <c r="GJ26" s="78"/>
      <c r="GK26" s="78"/>
      <c r="GL26" s="78"/>
      <c r="GM26" s="78"/>
      <c r="GN26" s="78"/>
      <c r="GO26" s="78"/>
      <c r="GP26" s="78"/>
      <c r="GQ26" s="78"/>
      <c r="GR26" s="78"/>
      <c r="GS26" s="78"/>
      <c r="GT26" s="78"/>
      <c r="GU26" s="78"/>
      <c r="GV26" s="78"/>
      <c r="GW26" s="78"/>
      <c r="GX26" s="78"/>
      <c r="GY26" s="78"/>
      <c r="GZ26" s="78"/>
      <c r="HA26" s="78"/>
      <c r="HB26" s="78"/>
      <c r="HC26" s="78"/>
      <c r="HD26" s="78"/>
      <c r="HE26" s="78"/>
      <c r="HF26" s="78"/>
      <c r="HG26" s="78"/>
      <c r="HH26" s="78"/>
      <c r="HI26" s="78"/>
      <c r="HJ26" s="78"/>
      <c r="HK26" s="78"/>
      <c r="HL26" s="78"/>
      <c r="HM26" s="78"/>
      <c r="HN26" s="78"/>
      <c r="HO26" s="78"/>
      <c r="HP26" s="78"/>
      <c r="HQ26" s="78"/>
      <c r="HR26" s="78"/>
      <c r="HS26" s="78"/>
      <c r="HT26" s="78"/>
      <c r="HU26" s="78"/>
      <c r="HV26" s="78"/>
      <c r="HW26" s="78"/>
      <c r="HX26" s="78"/>
      <c r="HY26" s="78"/>
      <c r="HZ26" s="78"/>
      <c r="IA26" s="78"/>
      <c r="IB26" s="78"/>
      <c r="IC26" s="78"/>
      <c r="ID26" s="78"/>
      <c r="IE26" s="78"/>
      <c r="IF26" s="78"/>
      <c r="IG26" s="78"/>
      <c r="IH26" s="78"/>
      <c r="II26" s="78"/>
      <c r="IJ26" s="78"/>
      <c r="IK26" s="78"/>
      <c r="IL26" s="78"/>
      <c r="IM26" s="78"/>
      <c r="IN26" s="78"/>
      <c r="IO26" s="78"/>
      <c r="IP26" s="78"/>
      <c r="IQ26" s="78"/>
      <c r="IR26" s="78"/>
      <c r="IS26" s="78"/>
      <c r="IT26" s="78"/>
      <c r="IU26" s="78"/>
      <c r="IV26" s="78"/>
      <c r="IW26" s="78"/>
      <c r="IX26" s="78"/>
      <c r="IY26" s="78"/>
      <c r="IZ26" s="78"/>
      <c r="JA26" s="78"/>
      <c r="JB26" s="78"/>
      <c r="JC26" s="78"/>
      <c r="JD26" s="78"/>
      <c r="JE26" s="78"/>
      <c r="JF26" s="78"/>
      <c r="JG26" s="78"/>
      <c r="JH26" s="78"/>
      <c r="JI26" s="78"/>
      <c r="JJ26" s="78"/>
      <c r="JK26" s="78"/>
      <c r="JL26" s="78"/>
      <c r="JM26" s="78"/>
      <c r="JN26" s="78"/>
      <c r="JO26" s="78"/>
      <c r="JP26" s="78"/>
      <c r="JQ26" s="78"/>
      <c r="JR26" s="78"/>
      <c r="JS26" s="78"/>
      <c r="JT26" s="78"/>
      <c r="JU26" s="78"/>
      <c r="JV26" s="78"/>
      <c r="JW26" s="78"/>
      <c r="JX26" s="78"/>
      <c r="JY26" s="78"/>
      <c r="JZ26" s="78"/>
      <c r="KA26" s="78"/>
      <c r="KB26" s="78"/>
      <c r="KC26" s="78"/>
      <c r="KD26" s="78"/>
      <c r="KE26" s="78"/>
      <c r="KF26" s="78"/>
      <c r="KG26" s="78"/>
      <c r="KH26" s="78"/>
      <c r="KI26" s="78"/>
      <c r="KJ26" s="78"/>
      <c r="KK26" s="78"/>
      <c r="KL26" s="78"/>
      <c r="KM26" s="78"/>
      <c r="KN26" s="78"/>
      <c r="KO26" s="78"/>
      <c r="KP26" s="78"/>
      <c r="KQ26" s="78"/>
      <c r="KR26" s="78"/>
      <c r="KS26" s="78"/>
      <c r="KT26" s="78"/>
      <c r="KU26" s="78"/>
      <c r="KV26" s="78"/>
      <c r="KW26" s="78"/>
      <c r="KX26" s="78"/>
      <c r="KY26" s="78"/>
      <c r="KZ26" s="78"/>
      <c r="LA26" s="78"/>
      <c r="LB26" s="78"/>
      <c r="LC26" s="78"/>
      <c r="LD26" s="78"/>
      <c r="LE26" s="78"/>
      <c r="LF26" s="78"/>
      <c r="LG26" s="78"/>
      <c r="LH26" s="78"/>
      <c r="LI26" s="78"/>
      <c r="LJ26" s="78"/>
      <c r="LK26" s="78"/>
      <c r="LL26" s="78"/>
      <c r="LM26" s="78"/>
      <c r="LN26" s="78"/>
      <c r="LO26" s="78"/>
      <c r="LP26" s="78"/>
      <c r="LQ26" s="78"/>
      <c r="LR26" s="78"/>
      <c r="LS26" s="78"/>
      <c r="LT26" s="78"/>
      <c r="LU26" s="78"/>
      <c r="LV26" s="78"/>
      <c r="LW26" s="78"/>
      <c r="LX26" s="78"/>
      <c r="LY26" s="78"/>
      <c r="LZ26" s="78"/>
      <c r="MA26" s="78"/>
      <c r="MB26" s="78"/>
      <c r="MC26" s="78"/>
      <c r="MD26" s="78"/>
      <c r="ME26" s="78"/>
      <c r="MF26" s="78"/>
      <c r="MG26" s="78"/>
      <c r="MH26" s="78"/>
      <c r="MI26" s="78"/>
      <c r="MJ26" s="78"/>
      <c r="MK26" s="78"/>
      <c r="ML26" s="78"/>
      <c r="MM26" s="78"/>
      <c r="MN26" s="78"/>
      <c r="MO26" s="78"/>
      <c r="MP26" s="78"/>
      <c r="MQ26" s="78"/>
      <c r="MR26" s="78"/>
      <c r="MS26" s="78"/>
      <c r="MT26" s="78"/>
      <c r="MU26" s="78"/>
      <c r="MV26" s="78"/>
      <c r="MW26" s="78"/>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80"/>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80"/>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0"/>
  </cols>
  <sheetData>
    <row r="2">
      <c r="B2" s="48" t="s">
        <v>505</v>
      </c>
      <c r="C2" s="48" t="s">
        <v>506</v>
      </c>
      <c r="D2" s="48" t="s">
        <v>249</v>
      </c>
      <c r="E2" s="48" t="s">
        <v>507</v>
      </c>
      <c r="F2" s="48" t="s">
        <v>508</v>
      </c>
      <c r="G2" s="48" t="s">
        <v>509</v>
      </c>
    </row>
    <row r="3">
      <c r="A3" s="48">
        <v>1.0</v>
      </c>
      <c r="B3" s="81" t="s">
        <v>21</v>
      </c>
      <c r="C3" s="61">
        <f>IFERROR(__xludf.DUMMYFUNCTION("GOOGLEFINANCE($B3)"),91.22)</f>
        <v>91.22</v>
      </c>
      <c r="D3" s="82">
        <v>80.0</v>
      </c>
      <c r="E3" s="82">
        <v>85.0</v>
      </c>
      <c r="F3" s="82">
        <v>125.0</v>
      </c>
      <c r="G3" s="82">
        <v>160.0</v>
      </c>
    </row>
    <row r="4">
      <c r="A4" s="48">
        <v>2.0</v>
      </c>
      <c r="B4" s="48" t="s">
        <v>510</v>
      </c>
      <c r="C4" s="61">
        <f>IFERROR(__xludf.DUMMYFUNCTION("GOOGLEFINANCE($B4)"),348.31)</f>
        <v>348.31</v>
      </c>
      <c r="D4" s="82">
        <v>350.0</v>
      </c>
      <c r="E4" s="82">
        <v>245.0</v>
      </c>
      <c r="F4" s="82">
        <v>405.0</v>
      </c>
      <c r="G4" s="82">
        <v>585.0</v>
      </c>
    </row>
    <row r="5">
      <c r="A5" s="48">
        <v>3.0</v>
      </c>
      <c r="B5" s="48" t="s">
        <v>511</v>
      </c>
      <c r="C5" s="83">
        <f>IFERROR(__xludf.DUMMYFUNCTION("GOOGLEFINANCE($B5)"),350.94)</f>
        <v>350.94</v>
      </c>
      <c r="D5" s="84"/>
      <c r="E5" s="82">
        <v>580.0</v>
      </c>
      <c r="F5" s="82">
        <v>780.0</v>
      </c>
      <c r="G5" s="82">
        <v>980.0</v>
      </c>
    </row>
    <row r="6">
      <c r="A6" s="48">
        <v>4.0</v>
      </c>
      <c r="B6" s="85" t="s">
        <v>51</v>
      </c>
      <c r="C6" s="83">
        <f>IFERROR(__xludf.DUMMYFUNCTION("GOOGLEFINANCE($B6)"),343.15)</f>
        <v>343.15</v>
      </c>
      <c r="D6" s="82">
        <v>350.0</v>
      </c>
      <c r="E6" s="82">
        <v>350.0</v>
      </c>
      <c r="F6" s="82">
        <v>550.0</v>
      </c>
      <c r="G6" s="82">
        <v>625.0</v>
      </c>
    </row>
    <row r="7">
      <c r="A7" s="48">
        <v>5.0</v>
      </c>
      <c r="B7" s="48" t="s">
        <v>25</v>
      </c>
      <c r="C7" s="61">
        <f>IFERROR(__xludf.DUMMYFUNCTION("GOOGLEFINANCE($B7)"),115.07)</f>
        <v>115.07</v>
      </c>
      <c r="D7" s="82">
        <v>90.0</v>
      </c>
      <c r="E7" s="82">
        <v>95.0</v>
      </c>
      <c r="F7" s="82">
        <v>135.0</v>
      </c>
      <c r="G7" s="82">
        <v>160.0</v>
      </c>
    </row>
    <row r="8">
      <c r="A8" s="48">
        <v>6.0</v>
      </c>
      <c r="B8" s="81" t="s">
        <v>22</v>
      </c>
      <c r="C8" s="61">
        <f>IFERROR(__xludf.DUMMYFUNCTION("GOOGLEFINANCE($B8)"),138.09)</f>
        <v>138.09</v>
      </c>
      <c r="D8" s="82">
        <v>130.0</v>
      </c>
      <c r="E8" s="82">
        <v>112.0</v>
      </c>
      <c r="F8" s="82">
        <v>148.0</v>
      </c>
      <c r="G8" s="82">
        <v>205.0</v>
      </c>
    </row>
    <row r="9">
      <c r="A9" s="48">
        <v>7.0</v>
      </c>
      <c r="B9" s="81" t="s">
        <v>24</v>
      </c>
      <c r="C9" s="83">
        <f>IFERROR(__xludf.DUMMYFUNCTION("GOOGLEFINANCE($B9)"),225.35)</f>
        <v>225.35</v>
      </c>
      <c r="D9" s="82">
        <v>250.0</v>
      </c>
      <c r="E9" s="82">
        <v>195.0</v>
      </c>
      <c r="F9" s="82">
        <v>445.0</v>
      </c>
      <c r="G9" s="82">
        <v>780.0</v>
      </c>
    </row>
    <row r="10">
      <c r="A10" s="48">
        <v>8.0</v>
      </c>
      <c r="B10" s="85" t="s">
        <v>52</v>
      </c>
      <c r="C10" s="83">
        <f>IFERROR(__xludf.DUMMYFUNCTION("GOOGLEFINANCE($B10)"),133.44)</f>
        <v>133.44</v>
      </c>
      <c r="D10" s="82">
        <v>120.0</v>
      </c>
      <c r="E10" s="82">
        <v>176.0</v>
      </c>
      <c r="F10" s="82">
        <v>211.0</v>
      </c>
      <c r="G10" s="82">
        <v>250.0</v>
      </c>
    </row>
    <row r="11">
      <c r="A11" s="48">
        <v>9.0</v>
      </c>
      <c r="B11" s="48" t="s">
        <v>512</v>
      </c>
      <c r="C11" s="61">
        <f>IFERROR(__xludf.DUMMYFUNCTION("GOOGLEFINANCE($B11)"),392.24)</f>
        <v>392.24</v>
      </c>
      <c r="D11" s="82">
        <v>300.0</v>
      </c>
      <c r="E11" s="82">
        <v>320.0</v>
      </c>
      <c r="F11" s="82">
        <v>480.0</v>
      </c>
      <c r="G11" s="82">
        <v>650.0</v>
      </c>
    </row>
    <row r="12">
      <c r="A12" s="48">
        <v>10.0</v>
      </c>
      <c r="B12" s="48" t="s">
        <v>513</v>
      </c>
      <c r="C12" s="61">
        <f>IFERROR(__xludf.DUMMYFUNCTION("GOOGLEFINANCE($B12)"),38.83)</f>
        <v>38.83</v>
      </c>
      <c r="D12" s="84"/>
      <c r="E12" s="82">
        <v>28.0</v>
      </c>
      <c r="F12" s="82">
        <v>38.0</v>
      </c>
      <c r="G12" s="82">
        <v>50.0</v>
      </c>
    </row>
    <row r="19">
      <c r="E19" s="48" t="s">
        <v>514</v>
      </c>
      <c r="F19" s="48" t="s">
        <v>515</v>
      </c>
      <c r="G19" s="48" t="s">
        <v>516</v>
      </c>
    </row>
    <row r="20">
      <c r="C20" s="48" t="s">
        <v>517</v>
      </c>
      <c r="D20" s="48" t="s">
        <v>22</v>
      </c>
      <c r="E20" s="48">
        <v>4000.0</v>
      </c>
      <c r="F20" s="48">
        <v>2500.0</v>
      </c>
      <c r="G20" s="48">
        <v>1500.0</v>
      </c>
    </row>
    <row r="21">
      <c r="C21" s="48" t="s">
        <v>517</v>
      </c>
      <c r="D21" s="48" t="s">
        <v>24</v>
      </c>
      <c r="E21" s="48">
        <v>3000.0</v>
      </c>
      <c r="F21" s="48">
        <v>2500.0</v>
      </c>
      <c r="G21" s="48">
        <v>500.0</v>
      </c>
    </row>
    <row r="22">
      <c r="C22" s="48" t="s">
        <v>517</v>
      </c>
      <c r="D22" s="48" t="s">
        <v>512</v>
      </c>
      <c r="E22" s="48">
        <v>2500.0</v>
      </c>
      <c r="F22" s="48"/>
      <c r="G22" s="48"/>
    </row>
    <row r="23">
      <c r="C23" s="48" t="s">
        <v>517</v>
      </c>
      <c r="D23" s="48" t="s">
        <v>52</v>
      </c>
      <c r="E23" s="48">
        <v>2000.0</v>
      </c>
      <c r="F23" s="48">
        <v>1500.0</v>
      </c>
      <c r="G23" s="48">
        <v>500.0</v>
      </c>
    </row>
    <row r="24">
      <c r="C24" s="48" t="s">
        <v>517</v>
      </c>
      <c r="D24" s="48" t="s">
        <v>513</v>
      </c>
      <c r="E24" s="48">
        <v>500.0</v>
      </c>
    </row>
    <row r="26">
      <c r="C26" s="48" t="s">
        <v>518</v>
      </c>
      <c r="D26" s="48" t="s">
        <v>51</v>
      </c>
      <c r="E26" s="48">
        <v>2000.0</v>
      </c>
      <c r="F26" s="48">
        <v>1500.0</v>
      </c>
      <c r="G26" s="48">
        <v>500.0</v>
      </c>
    </row>
    <row r="27">
      <c r="C27" s="48" t="s">
        <v>518</v>
      </c>
      <c r="D27" s="48" t="s">
        <v>25</v>
      </c>
      <c r="E27" s="48">
        <v>2000.0</v>
      </c>
      <c r="F27" s="48">
        <v>1500.0</v>
      </c>
      <c r="G27" s="48">
        <v>500.0</v>
      </c>
    </row>
    <row r="28">
      <c r="C28" s="48" t="s">
        <v>518</v>
      </c>
      <c r="D28" s="48" t="s">
        <v>21</v>
      </c>
      <c r="E28" s="48">
        <v>1500.0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
      <c r="D6" s="48" t="s">
        <v>519</v>
      </c>
    </row>
    <row r="7">
      <c r="D7" s="48" t="s">
        <v>520</v>
      </c>
    </row>
    <row r="8">
      <c r="D8" s="48" t="s">
        <v>521</v>
      </c>
    </row>
    <row r="9">
      <c r="D9" s="48" t="s">
        <v>522</v>
      </c>
    </row>
    <row r="10">
      <c r="D10" s="48" t="s">
        <v>523</v>
      </c>
    </row>
    <row r="11">
      <c r="D11" s="48" t="s">
        <v>524</v>
      </c>
    </row>
    <row r="12">
      <c r="D12" s="48" t="s">
        <v>525</v>
      </c>
    </row>
    <row r="15">
      <c r="D15" s="48" t="s">
        <v>526</v>
      </c>
    </row>
    <row r="16">
      <c r="D16" s="48" t="s">
        <v>527</v>
      </c>
    </row>
    <row r="17">
      <c r="A17" s="48" t="s">
        <v>528</v>
      </c>
      <c r="D17" s="48" t="s">
        <v>529</v>
      </c>
    </row>
    <row r="18">
      <c r="B18" s="48" t="s">
        <v>530</v>
      </c>
      <c r="D18" s="48" t="s">
        <v>531</v>
      </c>
    </row>
    <row r="19">
      <c r="B19" s="53">
        <f>HLOOKUP(B18,'1. 종목현황'!$L$4:$L$23,6,1)</f>
        <v>285670311.3</v>
      </c>
      <c r="D19" s="48" t="s">
        <v>532</v>
      </c>
    </row>
    <row r="23">
      <c r="D23" s="48" t="s">
        <v>533</v>
      </c>
    </row>
    <row r="24">
      <c r="D24" s="48" t="s">
        <v>534</v>
      </c>
    </row>
    <row r="25">
      <c r="D25" s="48" t="s">
        <v>535</v>
      </c>
    </row>
    <row r="26">
      <c r="D26" s="48" t="s">
        <v>536</v>
      </c>
    </row>
    <row r="27">
      <c r="D27" s="48" t="s">
        <v>537</v>
      </c>
    </row>
    <row r="28">
      <c r="D28" s="48" t="s">
        <v>538</v>
      </c>
    </row>
    <row r="29">
      <c r="D29" s="48" t="s">
        <v>539</v>
      </c>
    </row>
    <row r="30">
      <c r="D30" s="48" t="s">
        <v>540</v>
      </c>
    </row>
    <row r="32">
      <c r="D32" s="48" t="s">
        <v>541</v>
      </c>
    </row>
    <row r="33">
      <c r="D33" s="48" t="s">
        <v>542</v>
      </c>
    </row>
    <row r="34">
      <c r="D34" s="48" t="s">
        <v>543</v>
      </c>
    </row>
    <row r="35">
      <c r="D35" s="48" t="s">
        <v>544</v>
      </c>
    </row>
    <row r="36">
      <c r="D36" s="48" t="s">
        <v>545</v>
      </c>
    </row>
    <row r="37">
      <c r="D37" s="48" t="s">
        <v>546</v>
      </c>
    </row>
    <row r="38">
      <c r="D38" s="48" t="s">
        <v>547</v>
      </c>
    </row>
    <row r="39">
      <c r="D39" s="48" t="s">
        <v>548</v>
      </c>
    </row>
    <row r="41">
      <c r="D41" s="48" t="s">
        <v>549</v>
      </c>
    </row>
    <row r="43">
      <c r="D43" s="48" t="s">
        <v>550</v>
      </c>
    </row>
    <row r="44">
      <c r="D44" s="48" t="s">
        <v>551</v>
      </c>
    </row>
    <row r="45">
      <c r="D45" s="48" t="s">
        <v>552</v>
      </c>
    </row>
    <row r="46">
      <c r="D46" s="48" t="s">
        <v>553</v>
      </c>
    </row>
    <row r="47">
      <c r="D47" s="48" t="s">
        <v>554</v>
      </c>
    </row>
    <row r="48">
      <c r="D48" s="48" t="s">
        <v>555</v>
      </c>
    </row>
    <row r="49">
      <c r="D49" s="48" t="s">
        <v>556</v>
      </c>
    </row>
    <row r="50">
      <c r="D50" s="48" t="s">
        <v>557</v>
      </c>
    </row>
    <row r="51">
      <c r="D51" s="48" t="s">
        <v>558</v>
      </c>
    </row>
    <row r="52">
      <c r="D52" s="48" t="s">
        <v>559</v>
      </c>
    </row>
    <row r="53">
      <c r="D53" s="48" t="s">
        <v>560</v>
      </c>
    </row>
    <row r="54">
      <c r="D54" s="48" t="s">
        <v>561</v>
      </c>
    </row>
    <row r="55">
      <c r="D55" s="48" t="s">
        <v>562</v>
      </c>
      <c r="E55" s="48" t="s">
        <v>563</v>
      </c>
      <c r="F55" s="48" t="s">
        <v>564</v>
      </c>
      <c r="G55" s="48" t="s">
        <v>565</v>
      </c>
      <c r="H55" s="48" t="s">
        <v>566</v>
      </c>
      <c r="I55" s="48" t="s">
        <v>567</v>
      </c>
    </row>
    <row r="56">
      <c r="D56" s="48" t="s">
        <v>568</v>
      </c>
    </row>
    <row r="57">
      <c r="D57" s="48" t="s">
        <v>569</v>
      </c>
    </row>
    <row r="58">
      <c r="D58" s="48" t="s">
        <v>570</v>
      </c>
    </row>
    <row r="59">
      <c r="D59" s="48" t="s">
        <v>571</v>
      </c>
    </row>
    <row r="60">
      <c r="D60" s="48" t="s">
        <v>572</v>
      </c>
    </row>
    <row r="61">
      <c r="D61" s="48" t="s">
        <v>573</v>
      </c>
    </row>
    <row r="62">
      <c r="D62" s="48" t="s">
        <v>574</v>
      </c>
    </row>
    <row r="63">
      <c r="D63" s="48" t="s">
        <v>575</v>
      </c>
    </row>
    <row r="64">
      <c r="D64" s="48" t="s">
        <v>576</v>
      </c>
    </row>
    <row r="65">
      <c r="D65" s="48" t="s">
        <v>577</v>
      </c>
    </row>
    <row r="66">
      <c r="D66" s="48" t="s">
        <v>578</v>
      </c>
    </row>
    <row r="67">
      <c r="D67" s="48" t="s">
        <v>579</v>
      </c>
    </row>
    <row r="68">
      <c r="D68" s="48" t="s">
        <v>580</v>
      </c>
    </row>
    <row r="69">
      <c r="D69" s="48" t="s">
        <v>581</v>
      </c>
    </row>
    <row r="70">
      <c r="D70" s="48" t="s">
        <v>582</v>
      </c>
    </row>
    <row r="71">
      <c r="D71" s="48" t="s">
        <v>583</v>
      </c>
    </row>
    <row r="72">
      <c r="D72" s="48" t="s">
        <v>584</v>
      </c>
    </row>
    <row r="73">
      <c r="D73" s="48" t="s">
        <v>585</v>
      </c>
    </row>
    <row r="74">
      <c r="D74" s="48" t="s">
        <v>586</v>
      </c>
    </row>
    <row r="75">
      <c r="D75" s="48" t="s">
        <v>587</v>
      </c>
    </row>
    <row r="76">
      <c r="D76" s="48" t="s">
        <v>588</v>
      </c>
    </row>
    <row r="77">
      <c r="D77" s="48" t="s">
        <v>589</v>
      </c>
    </row>
    <row r="78">
      <c r="D78" s="48" t="s">
        <v>590</v>
      </c>
    </row>
    <row r="79">
      <c r="D79" s="48" t="s">
        <v>591</v>
      </c>
    </row>
    <row r="80">
      <c r="D80" s="48" t="s">
        <v>592</v>
      </c>
    </row>
    <row r="81">
      <c r="D81" s="48" t="s">
        <v>593</v>
      </c>
    </row>
    <row r="82">
      <c r="D82" s="48" t="s">
        <v>594</v>
      </c>
    </row>
    <row r="83">
      <c r="D83" s="48" t="s">
        <v>595</v>
      </c>
    </row>
    <row r="84">
      <c r="D84" s="48" t="s">
        <v>596</v>
      </c>
    </row>
    <row r="85">
      <c r="D85" s="48" t="s">
        <v>597</v>
      </c>
    </row>
    <row r="86">
      <c r="D86" s="48" t="s">
        <v>598</v>
      </c>
    </row>
    <row r="87">
      <c r="D87" s="48" t="s">
        <v>599</v>
      </c>
    </row>
    <row r="88">
      <c r="D88" s="48" t="s">
        <v>600</v>
      </c>
    </row>
    <row r="89">
      <c r="D89" s="48" t="s">
        <v>601</v>
      </c>
    </row>
    <row r="90">
      <c r="D90" s="48" t="s">
        <v>602</v>
      </c>
    </row>
    <row r="92">
      <c r="D92" s="48" t="s">
        <v>603</v>
      </c>
    </row>
    <row r="93">
      <c r="D93" s="48" t="s">
        <v>604</v>
      </c>
    </row>
    <row r="94">
      <c r="D94" s="48" t="s">
        <v>605</v>
      </c>
    </row>
    <row r="95">
      <c r="D95" s="48" t="s">
        <v>606</v>
      </c>
    </row>
    <row r="96">
      <c r="D96" s="48" t="s">
        <v>607</v>
      </c>
    </row>
    <row r="97">
      <c r="D97" s="48" t="s">
        <v>608</v>
      </c>
    </row>
    <row r="98">
      <c r="D98" s="48" t="s">
        <v>609</v>
      </c>
    </row>
    <row r="99">
      <c r="D99" s="48" t="s">
        <v>610</v>
      </c>
    </row>
    <row r="101">
      <c r="D101" s="48" t="s">
        <v>611</v>
      </c>
    </row>
    <row r="102">
      <c r="D102" s="48" t="s">
        <v>612</v>
      </c>
    </row>
    <row r="103">
      <c r="D103" s="48" t="s">
        <v>613</v>
      </c>
    </row>
    <row r="104">
      <c r="D104" s="48" t="s">
        <v>614</v>
      </c>
    </row>
    <row r="105">
      <c r="D105" s="48" t="s">
        <v>615</v>
      </c>
    </row>
    <row r="106">
      <c r="D106" s="48" t="s">
        <v>616</v>
      </c>
    </row>
    <row r="107">
      <c r="D107" s="48" t="s">
        <v>617</v>
      </c>
    </row>
    <row r="109">
      <c r="D109" s="48" t="s">
        <v>618</v>
      </c>
    </row>
    <row r="110">
      <c r="D110" s="48" t="s">
        <v>619</v>
      </c>
    </row>
    <row r="111">
      <c r="D111" s="48" t="s">
        <v>620</v>
      </c>
    </row>
    <row r="113">
      <c r="D113" s="48" t="s">
        <v>621</v>
      </c>
    </row>
    <row r="114">
      <c r="D114" s="48" t="s">
        <v>622</v>
      </c>
    </row>
    <row r="115">
      <c r="D115" s="48" t="s">
        <v>623</v>
      </c>
    </row>
    <row r="116">
      <c r="D116" s="48" t="s">
        <v>624</v>
      </c>
    </row>
    <row r="118">
      <c r="D118" s="48" t="s">
        <v>625</v>
      </c>
    </row>
    <row r="119">
      <c r="D119" s="48" t="s">
        <v>626</v>
      </c>
    </row>
    <row r="120">
      <c r="D120" s="48" t="s">
        <v>627</v>
      </c>
    </row>
    <row r="121">
      <c r="D121" s="48" t="s">
        <v>628</v>
      </c>
    </row>
    <row r="123">
      <c r="D123" s="48" t="s">
        <v>629</v>
      </c>
    </row>
    <row r="124">
      <c r="D124" s="48" t="s">
        <v>630</v>
      </c>
    </row>
    <row r="125">
      <c r="D125" s="48" t="s">
        <v>631</v>
      </c>
    </row>
    <row r="126">
      <c r="D126" s="48" t="s">
        <v>632</v>
      </c>
    </row>
    <row r="127">
      <c r="D127" s="48" t="s">
        <v>633</v>
      </c>
    </row>
    <row r="128">
      <c r="D128" s="48" t="s">
        <v>634</v>
      </c>
    </row>
    <row r="129">
      <c r="D129" s="48" t="s">
        <v>635</v>
      </c>
    </row>
    <row r="130">
      <c r="D130" s="48" t="s">
        <v>636</v>
      </c>
    </row>
    <row r="132">
      <c r="D132" s="48" t="s">
        <v>637</v>
      </c>
    </row>
    <row r="133">
      <c r="D133" s="48" t="s">
        <v>638</v>
      </c>
    </row>
    <row r="134">
      <c r="D134" s="48" t="s">
        <v>639</v>
      </c>
    </row>
    <row r="135">
      <c r="D135" s="48" t="s">
        <v>640</v>
      </c>
    </row>
    <row r="136">
      <c r="D136" s="48" t="s">
        <v>641</v>
      </c>
    </row>
    <row r="137">
      <c r="D137" s="48" t="s">
        <v>642</v>
      </c>
    </row>
    <row r="138">
      <c r="D138" s="48" t="s">
        <v>643</v>
      </c>
    </row>
    <row r="140">
      <c r="D140" s="48" t="s">
        <v>644</v>
      </c>
    </row>
    <row r="141">
      <c r="D141" s="48" t="s">
        <v>645</v>
      </c>
    </row>
    <row r="142">
      <c r="D142" s="48" t="s">
        <v>646</v>
      </c>
    </row>
    <row r="143">
      <c r="D143" s="48" t="s">
        <v>647</v>
      </c>
    </row>
    <row r="144">
      <c r="D144" s="48" t="s">
        <v>648</v>
      </c>
    </row>
    <row r="145">
      <c r="D145" s="48" t="s">
        <v>649</v>
      </c>
    </row>
    <row r="147">
      <c r="D147" s="48" t="s">
        <v>650</v>
      </c>
    </row>
    <row r="148">
      <c r="D148" s="48" t="s">
        <v>651</v>
      </c>
    </row>
    <row r="149">
      <c r="D149" s="48" t="s">
        <v>652</v>
      </c>
    </row>
    <row r="150">
      <c r="D150" s="48" t="s">
        <v>653</v>
      </c>
    </row>
    <row r="151">
      <c r="D151" s="48" t="s">
        <v>654</v>
      </c>
    </row>
    <row r="152">
      <c r="D152" s="48" t="s">
        <v>655</v>
      </c>
    </row>
    <row r="153">
      <c r="D153" s="48" t="s">
        <v>656</v>
      </c>
    </row>
    <row r="154">
      <c r="D154" s="48" t="s">
        <v>657</v>
      </c>
    </row>
    <row r="155">
      <c r="D155" s="48" t="s">
        <v>658</v>
      </c>
    </row>
    <row r="156">
      <c r="D156" s="48" t="s">
        <v>659</v>
      </c>
    </row>
    <row r="157">
      <c r="D157" s="48" t="s">
        <v>660</v>
      </c>
    </row>
    <row r="158">
      <c r="D158" s="48" t="s">
        <v>661</v>
      </c>
    </row>
    <row r="159">
      <c r="D159" s="48" t="s">
        <v>662</v>
      </c>
    </row>
    <row r="160">
      <c r="D160" s="48" t="s">
        <v>663</v>
      </c>
    </row>
    <row r="161">
      <c r="D161" s="48" t="s">
        <v>664</v>
      </c>
    </row>
    <row r="162">
      <c r="D162" s="48" t="s">
        <v>665</v>
      </c>
    </row>
    <row r="163">
      <c r="D163" s="48" t="s">
        <v>666</v>
      </c>
    </row>
    <row r="164">
      <c r="D164" s="48" t="s">
        <v>667</v>
      </c>
    </row>
    <row r="165">
      <c r="D165" s="48" t="s">
        <v>668</v>
      </c>
    </row>
    <row r="166">
      <c r="D166" s="48" t="s">
        <v>669</v>
      </c>
    </row>
    <row r="167">
      <c r="D167" s="48" t="s">
        <v>670</v>
      </c>
    </row>
    <row r="168">
      <c r="D168" s="48" t="s">
        <v>671</v>
      </c>
    </row>
    <row r="169">
      <c r="D169" s="48" t="s">
        <v>672</v>
      </c>
    </row>
    <row r="170">
      <c r="D170" s="48" t="s">
        <v>673</v>
      </c>
    </row>
    <row r="171">
      <c r="D171" s="48" t="s">
        <v>674</v>
      </c>
    </row>
    <row r="172">
      <c r="D172" s="48" t="s">
        <v>675</v>
      </c>
    </row>
    <row r="173">
      <c r="D173" s="48" t="s">
        <v>676</v>
      </c>
    </row>
    <row r="174">
      <c r="D174" s="48" t="s">
        <v>677</v>
      </c>
    </row>
    <row r="176">
      <c r="D176" s="48" t="s">
        <v>678</v>
      </c>
    </row>
    <row r="177">
      <c r="D177" s="48" t="s">
        <v>679</v>
      </c>
    </row>
    <row r="178">
      <c r="D178" s="48" t="s">
        <v>680</v>
      </c>
    </row>
    <row r="179">
      <c r="D179" s="48" t="s">
        <v>681</v>
      </c>
    </row>
    <row r="180">
      <c r="D180" s="48" t="s">
        <v>682</v>
      </c>
    </row>
    <row r="181">
      <c r="D181" s="48" t="s">
        <v>683</v>
      </c>
    </row>
    <row r="182">
      <c r="D182" s="48" t="s">
        <v>684</v>
      </c>
    </row>
    <row r="183">
      <c r="D183" s="48" t="s">
        <v>685</v>
      </c>
    </row>
    <row r="184">
      <c r="D184" s="48" t="s">
        <v>686</v>
      </c>
    </row>
    <row r="185">
      <c r="D185" s="48" t="s">
        <v>687</v>
      </c>
    </row>
    <row r="186">
      <c r="D186" s="48" t="s">
        <v>688</v>
      </c>
    </row>
    <row r="187">
      <c r="D187" s="48" t="s">
        <v>689</v>
      </c>
    </row>
    <row r="188">
      <c r="D188" s="48" t="s">
        <v>690</v>
      </c>
    </row>
    <row r="189">
      <c r="D189" s="48" t="s">
        <v>691</v>
      </c>
    </row>
    <row r="190">
      <c r="D190" s="48" t="s">
        <v>692</v>
      </c>
    </row>
    <row r="191">
      <c r="D191" s="48" t="s">
        <v>693</v>
      </c>
    </row>
    <row r="192">
      <c r="D192" s="48" t="s">
        <v>694</v>
      </c>
    </row>
    <row r="193">
      <c r="D193" s="48" t="s">
        <v>695</v>
      </c>
    </row>
    <row r="194">
      <c r="D194" s="48" t="s">
        <v>696</v>
      </c>
    </row>
    <row r="195">
      <c r="D195" s="48" t="s">
        <v>697</v>
      </c>
    </row>
    <row r="196">
      <c r="D196" s="48" t="s">
        <v>698</v>
      </c>
    </row>
    <row r="197">
      <c r="D197" s="48" t="s">
        <v>699</v>
      </c>
    </row>
    <row r="198">
      <c r="D198" s="48" t="s">
        <v>700</v>
      </c>
    </row>
    <row r="199">
      <c r="D199" s="48" t="s">
        <v>701</v>
      </c>
    </row>
    <row r="200">
      <c r="D200" s="48" t="s">
        <v>702</v>
      </c>
    </row>
    <row r="201">
      <c r="D201" s="48" t="s">
        <v>703</v>
      </c>
    </row>
    <row r="202">
      <c r="D202" s="48" t="s">
        <v>704</v>
      </c>
    </row>
    <row r="203">
      <c r="D203" s="48" t="s">
        <v>705</v>
      </c>
    </row>
    <row r="204">
      <c r="D204" s="48" t="s">
        <v>706</v>
      </c>
    </row>
    <row r="205">
      <c r="D205" s="48" t="s">
        <v>707</v>
      </c>
    </row>
    <row r="206">
      <c r="D206" s="48" t="s">
        <v>708</v>
      </c>
    </row>
    <row r="207">
      <c r="D207" s="48" t="s">
        <v>709</v>
      </c>
    </row>
    <row r="209">
      <c r="D209" s="48" t="s">
        <v>710</v>
      </c>
    </row>
    <row r="210">
      <c r="D210" s="48" t="s">
        <v>711</v>
      </c>
    </row>
    <row r="211">
      <c r="D211" s="48" t="s">
        <v>712</v>
      </c>
    </row>
    <row r="212">
      <c r="D212" s="48" t="s">
        <v>713</v>
      </c>
    </row>
    <row r="213">
      <c r="D213" s="48" t="s">
        <v>714</v>
      </c>
    </row>
    <row r="215">
      <c r="D215" s="48" t="s">
        <v>715</v>
      </c>
    </row>
    <row r="216">
      <c r="D216" s="48" t="s">
        <v>716</v>
      </c>
    </row>
    <row r="217">
      <c r="D217" s="48" t="s">
        <v>717</v>
      </c>
    </row>
    <row r="219">
      <c r="D219" s="48" t="s">
        <v>718</v>
      </c>
    </row>
    <row r="220">
      <c r="D220" s="48" t="s">
        <v>719</v>
      </c>
    </row>
    <row r="222">
      <c r="D222" s="48" t="s">
        <v>720</v>
      </c>
    </row>
    <row r="223">
      <c r="D223" s="48" t="s">
        <v>721</v>
      </c>
    </row>
    <row r="224">
      <c r="D224" s="48" t="s">
        <v>722</v>
      </c>
    </row>
    <row r="225">
      <c r="D225" s="48" t="s">
        <v>723</v>
      </c>
    </row>
    <row r="226">
      <c r="D226" s="48" t="s">
        <v>724</v>
      </c>
    </row>
    <row r="227">
      <c r="D227" s="48" t="s">
        <v>725</v>
      </c>
    </row>
    <row r="228">
      <c r="D228" s="48" t="s">
        <v>726</v>
      </c>
    </row>
    <row r="229">
      <c r="D229" s="48" t="s">
        <v>727</v>
      </c>
    </row>
    <row r="230">
      <c r="D230" s="48" t="s">
        <v>728</v>
      </c>
    </row>
    <row r="231">
      <c r="D231" s="48" t="s">
        <v>729</v>
      </c>
    </row>
    <row r="232">
      <c r="D232" s="48" t="s">
        <v>730</v>
      </c>
    </row>
    <row r="233">
      <c r="D233" s="48" t="s">
        <v>731</v>
      </c>
    </row>
    <row r="234">
      <c r="D234" s="48" t="s">
        <v>732</v>
      </c>
    </row>
    <row r="235">
      <c r="D235" s="48" t="s">
        <v>733</v>
      </c>
    </row>
    <row r="236">
      <c r="D236" s="48" t="s">
        <v>734</v>
      </c>
    </row>
    <row r="237">
      <c r="D237" s="48" t="s">
        <v>735</v>
      </c>
    </row>
    <row r="238">
      <c r="D238" s="48" t="s">
        <v>736</v>
      </c>
    </row>
    <row r="239">
      <c r="D239" s="48" t="s">
        <v>737</v>
      </c>
    </row>
    <row r="240">
      <c r="D240" s="48" t="s">
        <v>738</v>
      </c>
    </row>
    <row r="241">
      <c r="D241" s="48" t="s">
        <v>739</v>
      </c>
    </row>
    <row r="242">
      <c r="D242" s="48" t="s">
        <v>740</v>
      </c>
    </row>
    <row r="243">
      <c r="D243" s="48" t="s">
        <v>741</v>
      </c>
    </row>
    <row r="244">
      <c r="D244" s="48" t="s">
        <v>742</v>
      </c>
    </row>
    <row r="245">
      <c r="D245" s="48" t="s">
        <v>743</v>
      </c>
    </row>
    <row r="246">
      <c r="D246" s="48" t="s">
        <v>744</v>
      </c>
    </row>
    <row r="247">
      <c r="D247" s="48" t="s">
        <v>745</v>
      </c>
    </row>
    <row r="248">
      <c r="D248" s="48" t="s">
        <v>746</v>
      </c>
    </row>
    <row r="249">
      <c r="D249" s="48" t="s">
        <v>747</v>
      </c>
    </row>
    <row r="250">
      <c r="D250" s="48" t="s">
        <v>748</v>
      </c>
    </row>
    <row r="251">
      <c r="D251" s="48" t="s">
        <v>749</v>
      </c>
    </row>
    <row r="252">
      <c r="D252" s="48" t="s">
        <v>750</v>
      </c>
    </row>
    <row r="253">
      <c r="D253" s="48" t="s">
        <v>751</v>
      </c>
    </row>
    <row r="254">
      <c r="D254" s="48" t="s">
        <v>752</v>
      </c>
    </row>
    <row r="255">
      <c r="D255" s="48" t="s">
        <v>753</v>
      </c>
    </row>
    <row r="256">
      <c r="D256" s="48" t="s">
        <v>754</v>
      </c>
    </row>
    <row r="257">
      <c r="D257" s="48" t="s">
        <v>755</v>
      </c>
    </row>
    <row r="258">
      <c r="D258" s="48" t="s">
        <v>756</v>
      </c>
    </row>
    <row r="259">
      <c r="D259" s="48" t="s">
        <v>757</v>
      </c>
    </row>
    <row r="260">
      <c r="D260" s="48" t="s">
        <v>758</v>
      </c>
    </row>
    <row r="261">
      <c r="D261" s="48" t="s">
        <v>759</v>
      </c>
    </row>
    <row r="262">
      <c r="D262" s="48" t="s">
        <v>760</v>
      </c>
    </row>
    <row r="263">
      <c r="D263" s="48" t="s">
        <v>761</v>
      </c>
    </row>
    <row r="264">
      <c r="D264" s="48" t="s">
        <v>762</v>
      </c>
    </row>
    <row r="265">
      <c r="D265" s="48" t="s">
        <v>763</v>
      </c>
    </row>
    <row r="266">
      <c r="D266" s="48" t="s">
        <v>764</v>
      </c>
    </row>
    <row r="267">
      <c r="D267" s="48" t="s">
        <v>765</v>
      </c>
    </row>
    <row r="268">
      <c r="D268" s="48" t="s">
        <v>766</v>
      </c>
    </row>
    <row r="269">
      <c r="D269" s="48" t="s">
        <v>767</v>
      </c>
    </row>
    <row r="271">
      <c r="D271" s="48" t="s">
        <v>768</v>
      </c>
    </row>
    <row r="272">
      <c r="D272" s="48" t="s">
        <v>769</v>
      </c>
    </row>
    <row r="273">
      <c r="D273" s="48" t="s">
        <v>770</v>
      </c>
    </row>
    <row r="274">
      <c r="D274" s="48" t="s">
        <v>771</v>
      </c>
    </row>
    <row r="275">
      <c r="D275" s="48" t="s">
        <v>772</v>
      </c>
    </row>
    <row r="276">
      <c r="D276" s="48" t="s">
        <v>773</v>
      </c>
    </row>
    <row r="277">
      <c r="D277" s="48" t="s">
        <v>774</v>
      </c>
    </row>
    <row r="278">
      <c r="D278" s="48" t="s">
        <v>775</v>
      </c>
    </row>
    <row r="279">
      <c r="D279" s="48" t="s">
        <v>776</v>
      </c>
    </row>
    <row r="280">
      <c r="D280" s="48" t="s">
        <v>777</v>
      </c>
    </row>
    <row r="281">
      <c r="D281" s="48" t="s">
        <v>778</v>
      </c>
    </row>
    <row r="282">
      <c r="D282" s="48" t="s">
        <v>779</v>
      </c>
    </row>
    <row r="283">
      <c r="D283" s="48" t="s">
        <v>780</v>
      </c>
    </row>
    <row r="284">
      <c r="D284" s="48" t="s">
        <v>781</v>
      </c>
    </row>
    <row r="285">
      <c r="D285" s="48" t="s">
        <v>782</v>
      </c>
    </row>
    <row r="286">
      <c r="D286" s="48" t="s">
        <v>783</v>
      </c>
    </row>
    <row r="287">
      <c r="D287" s="48" t="s">
        <v>784</v>
      </c>
    </row>
    <row r="288">
      <c r="D288" s="48" t="s">
        <v>785</v>
      </c>
    </row>
    <row r="289">
      <c r="D289" s="48" t="s">
        <v>786</v>
      </c>
    </row>
    <row r="290">
      <c r="D290" s="48" t="s">
        <v>787</v>
      </c>
    </row>
    <row r="291">
      <c r="D291" s="48" t="s">
        <v>788</v>
      </c>
    </row>
    <row r="292">
      <c r="D292" s="48" t="s">
        <v>789</v>
      </c>
    </row>
    <row r="293">
      <c r="D293" s="48" t="s">
        <v>790</v>
      </c>
    </row>
    <row r="294">
      <c r="D294" s="48" t="s">
        <v>791</v>
      </c>
    </row>
    <row r="295">
      <c r="D295" s="48" t="s">
        <v>792</v>
      </c>
    </row>
    <row r="296">
      <c r="D296" s="48" t="s">
        <v>793</v>
      </c>
    </row>
    <row r="297">
      <c r="D297" s="48" t="s">
        <v>794</v>
      </c>
    </row>
    <row r="298">
      <c r="D298" s="48" t="s">
        <v>795</v>
      </c>
    </row>
    <row r="299">
      <c r="D299" s="48" t="s">
        <v>796</v>
      </c>
    </row>
    <row r="300">
      <c r="D300" s="48" t="s">
        <v>797</v>
      </c>
    </row>
    <row r="301">
      <c r="D301" s="48" t="s">
        <v>798</v>
      </c>
    </row>
    <row r="302">
      <c r="D302" s="48" t="s">
        <v>799</v>
      </c>
    </row>
    <row r="303">
      <c r="D303" s="48" t="s">
        <v>800</v>
      </c>
    </row>
    <row r="304">
      <c r="D304" s="48" t="s">
        <v>801</v>
      </c>
    </row>
    <row r="305">
      <c r="D305" s="48" t="s">
        <v>802</v>
      </c>
    </row>
    <row r="306">
      <c r="D306" s="48" t="s">
        <v>803</v>
      </c>
    </row>
    <row r="307">
      <c r="D307" s="48" t="s">
        <v>804</v>
      </c>
    </row>
    <row r="308">
      <c r="D308" s="48" t="s">
        <v>805</v>
      </c>
    </row>
    <row r="309">
      <c r="D309" s="48" t="s">
        <v>806</v>
      </c>
    </row>
    <row r="310">
      <c r="D310" s="48" t="s">
        <v>807</v>
      </c>
    </row>
    <row r="311">
      <c r="D311" s="48" t="s">
        <v>808</v>
      </c>
    </row>
    <row r="312">
      <c r="D312" s="48" t="s">
        <v>809</v>
      </c>
    </row>
    <row r="314">
      <c r="D314" s="48" t="s">
        <v>810</v>
      </c>
    </row>
    <row r="315">
      <c r="D315" s="48" t="s">
        <v>811</v>
      </c>
    </row>
    <row r="316">
      <c r="D316" s="48" t="s">
        <v>812</v>
      </c>
    </row>
    <row r="317">
      <c r="D317" s="48" t="s">
        <v>813</v>
      </c>
    </row>
    <row r="318">
      <c r="D318" s="48" t="s">
        <v>814</v>
      </c>
    </row>
    <row r="319">
      <c r="D319" s="48" t="s">
        <v>815</v>
      </c>
    </row>
    <row r="320">
      <c r="D320" s="48" t="s">
        <v>816</v>
      </c>
    </row>
    <row r="321">
      <c r="D321" s="48" t="s">
        <v>817</v>
      </c>
    </row>
    <row r="322">
      <c r="D322" s="48" t="s">
        <v>818</v>
      </c>
    </row>
    <row r="323">
      <c r="D323" s="48" t="s">
        <v>819</v>
      </c>
    </row>
    <row r="324">
      <c r="D324" s="48" t="s">
        <v>820</v>
      </c>
    </row>
    <row r="325">
      <c r="D325" s="48" t="s">
        <v>821</v>
      </c>
    </row>
    <row r="326">
      <c r="D326" s="48" t="s">
        <v>822</v>
      </c>
    </row>
    <row r="327">
      <c r="D327" s="48" t="s">
        <v>823</v>
      </c>
    </row>
    <row r="328">
      <c r="D328" s="48" t="s">
        <v>824</v>
      </c>
    </row>
    <row r="329">
      <c r="D329" s="48" t="s">
        <v>825</v>
      </c>
    </row>
    <row r="330">
      <c r="D330" s="48" t="s">
        <v>826</v>
      </c>
    </row>
    <row r="331">
      <c r="D331" s="48" t="s">
        <v>827</v>
      </c>
    </row>
    <row r="332">
      <c r="D332" s="48" t="s">
        <v>828</v>
      </c>
    </row>
    <row r="333">
      <c r="D333" s="48" t="s">
        <v>829</v>
      </c>
    </row>
    <row r="334">
      <c r="D334" s="48" t="s">
        <v>830</v>
      </c>
    </row>
    <row r="335">
      <c r="D335" s="48" t="s">
        <v>831</v>
      </c>
    </row>
    <row r="336">
      <c r="D336" s="48" t="s">
        <v>832</v>
      </c>
    </row>
    <row r="337">
      <c r="D337" s="48" t="s">
        <v>833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79.38"/>
    <col customWidth="1" min="5" max="5" width="88.0"/>
  </cols>
  <sheetData>
    <row r="3">
      <c r="B3" s="48" t="s">
        <v>834</v>
      </c>
    </row>
    <row r="4">
      <c r="C4" s="48" t="s">
        <v>835</v>
      </c>
    </row>
    <row r="5">
      <c r="C5" s="48" t="s">
        <v>836</v>
      </c>
    </row>
    <row r="6">
      <c r="C6" s="48" t="s">
        <v>837</v>
      </c>
      <c r="E6" s="48" t="s">
        <v>838</v>
      </c>
    </row>
    <row r="7">
      <c r="C7" s="48" t="s">
        <v>839</v>
      </c>
      <c r="E7" s="48" t="s">
        <v>840</v>
      </c>
    </row>
    <row r="8">
      <c r="C8" s="48" t="s">
        <v>841</v>
      </c>
      <c r="E8" s="48" t="s">
        <v>842</v>
      </c>
    </row>
    <row r="9">
      <c r="C9" s="48" t="s">
        <v>843</v>
      </c>
      <c r="E9" s="48" t="s">
        <v>844</v>
      </c>
    </row>
    <row r="10">
      <c r="C10" s="48" t="s">
        <v>845</v>
      </c>
      <c r="E10" s="48" t="s">
        <v>846</v>
      </c>
    </row>
    <row r="11">
      <c r="C11" s="48" t="s">
        <v>847</v>
      </c>
      <c r="E11" s="48" t="s">
        <v>848</v>
      </c>
    </row>
    <row r="12">
      <c r="C12" s="48" t="s">
        <v>849</v>
      </c>
      <c r="E12" s="48" t="s">
        <v>850</v>
      </c>
    </row>
    <row r="13">
      <c r="E13" s="48" t="s">
        <v>851</v>
      </c>
    </row>
    <row r="14">
      <c r="C14" s="48" t="s">
        <v>852</v>
      </c>
    </row>
    <row r="15">
      <c r="C15" s="48" t="s">
        <v>853</v>
      </c>
    </row>
    <row r="16">
      <c r="C16" s="48" t="s">
        <v>854</v>
      </c>
    </row>
    <row r="17">
      <c r="C17" s="48" t="s">
        <v>855</v>
      </c>
    </row>
    <row r="18">
      <c r="C18" s="48" t="s">
        <v>856</v>
      </c>
    </row>
    <row r="19">
      <c r="C19" s="48" t="s">
        <v>857</v>
      </c>
    </row>
    <row r="20">
      <c r="C20" s="48" t="s">
        <v>858</v>
      </c>
    </row>
    <row r="21">
      <c r="C21" s="48" t="s">
        <v>859</v>
      </c>
    </row>
    <row r="22">
      <c r="C22" s="48" t="s">
        <v>860</v>
      </c>
    </row>
    <row r="23">
      <c r="C23" s="48" t="s">
        <v>861</v>
      </c>
    </row>
    <row r="24">
      <c r="C24" s="48" t="s">
        <v>862</v>
      </c>
    </row>
    <row r="25">
      <c r="C25" s="48" t="s">
        <v>863</v>
      </c>
    </row>
    <row r="26">
      <c r="C26" s="48" t="s">
        <v>864</v>
      </c>
    </row>
    <row r="27">
      <c r="C27" s="48" t="s">
        <v>865</v>
      </c>
    </row>
    <row r="28">
      <c r="C28" s="48" t="s">
        <v>866</v>
      </c>
    </row>
    <row r="29">
      <c r="C29" s="48" t="s">
        <v>867</v>
      </c>
    </row>
    <row r="30">
      <c r="C30" s="48" t="s">
        <v>868</v>
      </c>
    </row>
    <row r="31">
      <c r="C31" s="48" t="s">
        <v>869</v>
      </c>
    </row>
    <row r="32">
      <c r="C32" s="48" t="s">
        <v>870</v>
      </c>
    </row>
    <row r="33">
      <c r="C33" s="48" t="s">
        <v>871</v>
      </c>
    </row>
    <row r="34">
      <c r="C34" s="48" t="s">
        <v>872</v>
      </c>
    </row>
    <row r="35">
      <c r="C35" s="48" t="s">
        <v>873</v>
      </c>
    </row>
    <row r="36">
      <c r="C36" s="48" t="s">
        <v>874</v>
      </c>
    </row>
    <row r="37">
      <c r="C37" s="48" t="s">
        <v>875</v>
      </c>
    </row>
    <row r="38">
      <c r="C38" s="48" t="s">
        <v>876</v>
      </c>
    </row>
    <row r="39">
      <c r="C39" s="48" t="s">
        <v>877</v>
      </c>
    </row>
    <row r="40">
      <c r="C40" s="48" t="s">
        <v>878</v>
      </c>
    </row>
    <row r="41">
      <c r="C41" s="48" t="s">
        <v>879</v>
      </c>
    </row>
    <row r="42">
      <c r="C42" s="48" t="s">
        <v>880</v>
      </c>
    </row>
    <row r="43">
      <c r="C43" s="48" t="s">
        <v>881</v>
      </c>
    </row>
    <row r="44">
      <c r="C44" s="48" t="s">
        <v>34</v>
      </c>
    </row>
    <row r="45">
      <c r="C45" s="48" t="s">
        <v>882</v>
      </c>
    </row>
    <row r="46">
      <c r="C46" s="48" t="s">
        <v>883</v>
      </c>
    </row>
    <row r="47">
      <c r="C47" s="48" t="s">
        <v>884</v>
      </c>
    </row>
    <row r="48">
      <c r="C48" s="48" t="s">
        <v>885</v>
      </c>
    </row>
    <row r="49">
      <c r="C49" s="48" t="s">
        <v>886</v>
      </c>
    </row>
    <row r="50">
      <c r="C50" s="48" t="s">
        <v>887</v>
      </c>
    </row>
    <row r="51">
      <c r="C51" s="48" t="s">
        <v>888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7.25"/>
    <col customWidth="1" min="4" max="4" width="44.13"/>
    <col customWidth="1" min="5" max="5" width="49.0"/>
  </cols>
  <sheetData>
    <row r="3">
      <c r="B3" s="48" t="s">
        <v>889</v>
      </c>
      <c r="C3" s="48" t="s">
        <v>890</v>
      </c>
      <c r="D3" s="86"/>
    </row>
    <row r="5">
      <c r="E5" s="48" t="s">
        <v>891</v>
      </c>
    </row>
    <row r="6">
      <c r="B6" s="48" t="s">
        <v>51</v>
      </c>
      <c r="C6" s="48" t="s">
        <v>892</v>
      </c>
      <c r="D6" s="48" t="s">
        <v>893</v>
      </c>
      <c r="E6" s="48" t="s">
        <v>894</v>
      </c>
    </row>
    <row r="7">
      <c r="B7" s="48" t="s">
        <v>895</v>
      </c>
      <c r="C7" s="48" t="s">
        <v>896</v>
      </c>
      <c r="D7" s="48" t="s">
        <v>897</v>
      </c>
      <c r="E7" s="48" t="s">
        <v>898</v>
      </c>
    </row>
    <row r="8">
      <c r="B8" s="48" t="s">
        <v>899</v>
      </c>
      <c r="C8" s="48" t="s">
        <v>900</v>
      </c>
      <c r="D8" s="48" t="s">
        <v>901</v>
      </c>
    </row>
    <row r="9">
      <c r="B9" s="48" t="s">
        <v>902</v>
      </c>
      <c r="C9" s="48" t="s">
        <v>903</v>
      </c>
      <c r="D9" s="48" t="s">
        <v>904</v>
      </c>
      <c r="E9" s="48" t="s">
        <v>905</v>
      </c>
    </row>
    <row r="10">
      <c r="B10" s="48" t="s">
        <v>906</v>
      </c>
      <c r="C10" s="48" t="s">
        <v>907</v>
      </c>
      <c r="D10" s="48" t="s">
        <v>908</v>
      </c>
      <c r="E10" s="48" t="s">
        <v>909</v>
      </c>
    </row>
    <row r="11">
      <c r="B11" s="48" t="s">
        <v>910</v>
      </c>
      <c r="C11" s="48" t="s">
        <v>911</v>
      </c>
      <c r="E11" s="48" t="s">
        <v>912</v>
      </c>
    </row>
    <row r="12">
      <c r="B12" s="48" t="s">
        <v>913</v>
      </c>
      <c r="C12" s="48" t="s">
        <v>914</v>
      </c>
      <c r="D12" s="48" t="s">
        <v>915</v>
      </c>
      <c r="E12" s="48" t="s">
        <v>916</v>
      </c>
    </row>
    <row r="13">
      <c r="B13" s="48" t="s">
        <v>917</v>
      </c>
      <c r="C13" s="48" t="s">
        <v>918</v>
      </c>
      <c r="D13" s="48" t="s">
        <v>919</v>
      </c>
      <c r="E13" s="48" t="s">
        <v>920</v>
      </c>
    </row>
    <row r="14">
      <c r="B14" s="48" t="s">
        <v>921</v>
      </c>
    </row>
    <row r="15">
      <c r="B15" s="48" t="s">
        <v>922</v>
      </c>
      <c r="C15" s="48" t="s">
        <v>923</v>
      </c>
      <c r="E15" s="48" t="s">
        <v>924</v>
      </c>
    </row>
    <row r="16">
      <c r="B16" s="48" t="s">
        <v>925</v>
      </c>
      <c r="C16" s="48" t="s">
        <v>926</v>
      </c>
    </row>
    <row r="17">
      <c r="B17" s="87" t="s">
        <v>52</v>
      </c>
      <c r="C17" s="48" t="s">
        <v>927</v>
      </c>
    </row>
    <row r="18">
      <c r="B18" s="48" t="s">
        <v>512</v>
      </c>
      <c r="C18" s="48" t="s">
        <v>928</v>
      </c>
    </row>
    <row r="19">
      <c r="B19" s="48" t="s">
        <v>929</v>
      </c>
      <c r="C19" s="48" t="s">
        <v>930</v>
      </c>
    </row>
    <row r="20">
      <c r="B20" s="48" t="s">
        <v>931</v>
      </c>
      <c r="C20" s="48" t="s">
        <v>932</v>
      </c>
    </row>
    <row r="21">
      <c r="B21" s="48" t="s">
        <v>933</v>
      </c>
      <c r="C21" s="48" t="s">
        <v>934</v>
      </c>
    </row>
    <row r="22">
      <c r="B22" s="48" t="s">
        <v>935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21.13"/>
    <col customWidth="1" min="5" max="5" width="2.63"/>
    <col customWidth="1" min="7" max="7" width="2.63"/>
    <col customWidth="1" min="9" max="9" width="3.0"/>
    <col customWidth="1" min="11" max="11" width="2.13"/>
    <col customWidth="1" min="13" max="13" width="1.75"/>
    <col customWidth="1" min="15" max="15" width="2.0"/>
    <col customWidth="1" min="17" max="17" width="2.13"/>
  </cols>
  <sheetData>
    <row r="3">
      <c r="B3" s="8" t="s">
        <v>3</v>
      </c>
      <c r="C3" s="2"/>
      <c r="D3" s="8" t="s">
        <v>4</v>
      </c>
      <c r="E3" s="9"/>
      <c r="F3" s="8" t="s">
        <v>5</v>
      </c>
      <c r="G3" s="2"/>
      <c r="H3" s="8" t="s">
        <v>6</v>
      </c>
      <c r="I3" s="2"/>
      <c r="J3" s="8" t="s">
        <v>7</v>
      </c>
      <c r="K3" s="2"/>
      <c r="L3" s="8" t="s">
        <v>8</v>
      </c>
      <c r="M3" s="2"/>
      <c r="N3" s="8" t="s">
        <v>9</v>
      </c>
      <c r="O3" s="2"/>
      <c r="P3" s="8" t="s">
        <v>10</v>
      </c>
      <c r="Q3" s="2"/>
      <c r="R3" s="8" t="s">
        <v>11</v>
      </c>
      <c r="S3" s="10"/>
      <c r="T3" s="10"/>
      <c r="U3" s="10"/>
      <c r="V3" s="10"/>
    </row>
    <row r="4">
      <c r="B4" s="13"/>
      <c r="C4" s="2"/>
      <c r="D4" s="13"/>
      <c r="E4" s="9"/>
      <c r="F4" s="13"/>
      <c r="G4" s="2"/>
      <c r="H4" s="13"/>
      <c r="I4" s="2"/>
      <c r="J4" s="13"/>
      <c r="K4" s="2"/>
      <c r="L4" s="13"/>
      <c r="M4" s="2"/>
      <c r="N4" s="13"/>
      <c r="O4" s="2"/>
      <c r="P4" s="13"/>
      <c r="Q4" s="2"/>
      <c r="R4" s="13"/>
      <c r="S4" s="2"/>
      <c r="T4" s="2"/>
      <c r="U4" s="2"/>
      <c r="V4" s="2"/>
    </row>
    <row r="5">
      <c r="B5" s="13"/>
      <c r="C5" s="14"/>
      <c r="D5" s="13"/>
      <c r="E5" s="9"/>
      <c r="F5" s="13"/>
      <c r="G5" s="14"/>
      <c r="H5" s="13"/>
      <c r="I5" s="14"/>
      <c r="J5" s="13"/>
      <c r="K5" s="14"/>
      <c r="L5" s="13"/>
      <c r="M5" s="14"/>
      <c r="N5" s="13"/>
      <c r="O5" s="14"/>
      <c r="P5" s="13"/>
      <c r="Q5" s="14"/>
      <c r="R5" s="13"/>
      <c r="S5" s="14"/>
      <c r="T5" s="8"/>
      <c r="U5" s="2"/>
      <c r="V5" s="8"/>
    </row>
    <row r="6">
      <c r="B6" s="17"/>
      <c r="C6" s="14"/>
      <c r="D6" s="17"/>
      <c r="E6" s="9"/>
      <c r="F6" s="17"/>
      <c r="G6" s="14"/>
      <c r="H6" s="17"/>
      <c r="I6" s="14"/>
      <c r="J6" s="17"/>
      <c r="K6" s="14"/>
      <c r="L6" s="17"/>
      <c r="M6" s="14"/>
      <c r="N6" s="17"/>
      <c r="O6" s="14"/>
      <c r="P6" s="17"/>
      <c r="Q6" s="14"/>
      <c r="R6" s="17"/>
      <c r="S6" s="14"/>
      <c r="T6" s="17"/>
      <c r="U6" s="2"/>
      <c r="V6" s="17"/>
    </row>
    <row r="8">
      <c r="B8" s="48">
        <v>1.0</v>
      </c>
      <c r="C8" s="48"/>
      <c r="D8" s="48" t="s">
        <v>17</v>
      </c>
      <c r="E8" s="48"/>
      <c r="F8" s="48" t="s">
        <v>17</v>
      </c>
      <c r="G8" s="59"/>
      <c r="H8" s="59"/>
      <c r="I8" s="60"/>
      <c r="J8" s="60"/>
      <c r="K8" s="53"/>
      <c r="L8" s="51">
        <v>2.2E7</v>
      </c>
      <c r="M8" s="48"/>
      <c r="N8" s="48" t="s">
        <v>18</v>
      </c>
      <c r="O8" s="48"/>
      <c r="P8" s="48" t="s">
        <v>18</v>
      </c>
      <c r="Q8" s="88"/>
      <c r="R8" s="88">
        <v>0.0</v>
      </c>
    </row>
    <row r="9">
      <c r="B9" s="48">
        <v>0.0</v>
      </c>
      <c r="C9" s="48"/>
      <c r="D9" s="48" t="s">
        <v>19</v>
      </c>
      <c r="E9" s="48"/>
      <c r="F9" s="48" t="s">
        <v>19</v>
      </c>
      <c r="G9" s="59"/>
      <c r="H9" s="59">
        <v>1503.0</v>
      </c>
      <c r="I9" s="60"/>
      <c r="J9" s="60">
        <v>1503.0</v>
      </c>
      <c r="K9" s="53"/>
      <c r="L9" s="53">
        <v>0.0</v>
      </c>
      <c r="M9" s="48"/>
      <c r="N9" s="48" t="s">
        <v>18</v>
      </c>
      <c r="O9" s="48"/>
      <c r="P9" s="48" t="s">
        <v>18</v>
      </c>
      <c r="Q9" s="88"/>
      <c r="R9" s="88">
        <v>0.0</v>
      </c>
    </row>
    <row r="10">
      <c r="B10" s="48">
        <v>200.0</v>
      </c>
      <c r="D10" s="89" t="s">
        <v>936</v>
      </c>
      <c r="E10" s="48"/>
      <c r="F10" s="48" t="s">
        <v>20</v>
      </c>
      <c r="G10" s="60"/>
      <c r="H10" s="60">
        <v>202.76</v>
      </c>
      <c r="I10" s="60"/>
      <c r="J10" s="60">
        <v>343.1</v>
      </c>
      <c r="K10" s="53"/>
      <c r="L10" s="53">
        <v>1.0313586E8</v>
      </c>
      <c r="N10" s="53">
        <v>4.6946197760000005E7</v>
      </c>
      <c r="O10" s="88"/>
      <c r="P10" s="88">
        <v>0.8354952830910629</v>
      </c>
      <c r="Q10" s="88"/>
      <c r="R10" s="88">
        <v>0.35251770435662466</v>
      </c>
    </row>
    <row r="11">
      <c r="B11" s="48">
        <v>460.0</v>
      </c>
      <c r="D11" s="89" t="s">
        <v>937</v>
      </c>
      <c r="F11" s="48" t="s">
        <v>21</v>
      </c>
      <c r="H11" s="60">
        <v>93.08</v>
      </c>
      <c r="J11" s="60">
        <v>90.49</v>
      </c>
      <c r="L11" s="53">
        <v>6.256297619999999E7</v>
      </c>
      <c r="N11" s="53">
        <v>-377719.80000000447</v>
      </c>
      <c r="P11" s="88">
        <v>-0.006001201511975726</v>
      </c>
      <c r="R11" s="88">
        <v>0.21383984918283652</v>
      </c>
    </row>
    <row r="12">
      <c r="B12" s="48">
        <v>1.0</v>
      </c>
      <c r="D12" s="89" t="s">
        <v>938</v>
      </c>
      <c r="F12" s="48" t="s">
        <v>22</v>
      </c>
      <c r="H12" s="60">
        <v>178.29</v>
      </c>
      <c r="J12" s="60">
        <v>142.79</v>
      </c>
      <c r="L12" s="53">
        <v>214613.37</v>
      </c>
      <c r="N12" s="53">
        <v>-47829.51000000001</v>
      </c>
      <c r="P12" s="88">
        <v>-0.18224731415841805</v>
      </c>
      <c r="R12" s="88">
        <v>7.335471146179311E-4</v>
      </c>
    </row>
    <row r="13">
      <c r="B13" s="48">
        <v>300.0</v>
      </c>
      <c r="D13" s="89" t="s">
        <v>939</v>
      </c>
      <c r="E13" s="48"/>
      <c r="F13" s="48" t="s">
        <v>23</v>
      </c>
      <c r="G13" s="60"/>
      <c r="H13" s="60">
        <v>59.97</v>
      </c>
      <c r="I13" s="60"/>
      <c r="J13" s="60">
        <v>63.87</v>
      </c>
      <c r="K13" s="53"/>
      <c r="L13" s="53">
        <v>2.8798983E7</v>
      </c>
      <c r="N13" s="53">
        <v>4818959.009999998</v>
      </c>
      <c r="O13" s="88"/>
      <c r="P13" s="88">
        <v>0.20095722222836682</v>
      </c>
      <c r="Q13" s="88"/>
      <c r="R13" s="88">
        <v>0.09843473816929882</v>
      </c>
    </row>
    <row r="14">
      <c r="B14" s="48">
        <v>114.0</v>
      </c>
      <c r="D14" s="89" t="s">
        <v>940</v>
      </c>
      <c r="E14" s="48"/>
      <c r="F14" s="48" t="s">
        <v>25</v>
      </c>
      <c r="G14" s="60"/>
      <c r="H14" s="60">
        <v>91.99</v>
      </c>
      <c r="I14" s="60"/>
      <c r="J14" s="60">
        <v>106.72</v>
      </c>
      <c r="K14" s="53"/>
      <c r="L14" s="53">
        <v>1.828561824E7</v>
      </c>
      <c r="N14" s="53">
        <v>3247461.0</v>
      </c>
      <c r="O14" s="88"/>
      <c r="P14" s="88">
        <v>0.21594806784983453</v>
      </c>
      <c r="Q14" s="88"/>
      <c r="R14" s="88">
        <v>0.06250012522033</v>
      </c>
    </row>
    <row r="15">
      <c r="B15" s="48">
        <v>1600.0</v>
      </c>
      <c r="D15" s="89" t="s">
        <v>941</v>
      </c>
      <c r="E15" s="48"/>
      <c r="F15" s="48" t="s">
        <v>26</v>
      </c>
      <c r="G15" s="60"/>
      <c r="H15" s="60">
        <v>5.69</v>
      </c>
      <c r="I15" s="60"/>
      <c r="J15" s="60">
        <v>9.64</v>
      </c>
      <c r="K15" s="53"/>
      <c r="L15" s="53">
        <v>2.3182272E7</v>
      </c>
      <c r="N15" s="53">
        <v>1.08868648E7</v>
      </c>
      <c r="O15" s="88"/>
      <c r="P15" s="88">
        <v>0.885441581796494</v>
      </c>
      <c r="Q15" s="88"/>
      <c r="R15" s="88">
        <v>0.07923685619347973</v>
      </c>
    </row>
    <row r="16">
      <c r="B16" s="48">
        <v>1754.0</v>
      </c>
      <c r="D16" s="89" t="s">
        <v>942</v>
      </c>
      <c r="E16" s="48"/>
      <c r="F16" s="48" t="s">
        <v>27</v>
      </c>
      <c r="G16" s="60"/>
      <c r="H16" s="60">
        <v>16.66</v>
      </c>
      <c r="I16" s="60"/>
      <c r="J16" s="60">
        <v>10.01</v>
      </c>
      <c r="K16" s="53"/>
      <c r="L16" s="53">
        <v>2.638898262E7</v>
      </c>
      <c r="N16" s="53">
        <v>-1.3950030318E7</v>
      </c>
      <c r="O16" s="88"/>
      <c r="P16" s="88">
        <v>-0.3458198230938578</v>
      </c>
      <c r="Q16" s="88"/>
      <c r="R16" s="88">
        <v>0.09019737241255628</v>
      </c>
    </row>
    <row r="17">
      <c r="B17" s="48">
        <v>876.0</v>
      </c>
      <c r="D17" s="89" t="s">
        <v>943</v>
      </c>
      <c r="F17" s="48" t="s">
        <v>28</v>
      </c>
      <c r="H17" s="60">
        <v>6.16</v>
      </c>
      <c r="J17" s="60">
        <v>6.13</v>
      </c>
      <c r="L17" s="53">
        <v>8070929.640000001</v>
      </c>
      <c r="N17" s="53">
        <v>284270.7600000007</v>
      </c>
      <c r="P17" s="88">
        <v>0.036507411507411595</v>
      </c>
      <c r="R17" s="88">
        <v>0.02758638546007799</v>
      </c>
    </row>
  </sheetData>
  <mergeCells count="11">
    <mergeCell ref="P3:P6"/>
    <mergeCell ref="R3:R6"/>
    <mergeCell ref="T5:T6"/>
    <mergeCell ref="V5:V6"/>
    <mergeCell ref="B3:B6"/>
    <mergeCell ref="D3:D6"/>
    <mergeCell ref="F3:F6"/>
    <mergeCell ref="H3:H6"/>
    <mergeCell ref="J3:J6"/>
    <mergeCell ref="L3:L6"/>
    <mergeCell ref="N3:N6"/>
  </mergeCells>
  <drawing r:id="rId1"/>
</worksheet>
</file>